
<file path=[Content_Types].xml><?xml version="1.0" encoding="utf-8"?>
<Types xmlns="http://schemas.openxmlformats.org/package/2006/content-types">
  <Default Extension="bin" ContentType="application/vnd.openxmlformats-officedocument.spreadsheetml.printerSettings"/>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customXml/itemProps1.xml" ContentType="application/vnd.openxmlformats-officedocument.customXmlProperties+xml"/>
  <Default Extension="jpeg" ContentType="image/jpeg"/>
  <Default Extension="emf" ContentType="image/x-emf"/>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activeX/activeX1.xml" ContentType="application/vnd.ms-office.activeX+xml"/>
  <Override PartName="/xl/comments2.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180" windowWidth="19035" windowHeight="8130" tabRatio="729"/>
  </bookViews>
  <sheets>
    <sheet name="Reference" sheetId="2" r:id="rId1"/>
    <sheet name="Summary" sheetId="1" state="hidden" r:id="rId2"/>
    <sheet name="1. General information (old)" sheetId="3" state="hidden" r:id="rId3"/>
    <sheet name="1. General information" sheetId="9" r:id="rId4"/>
    <sheet name="2. Installation steps" sheetId="7" r:id="rId5"/>
  </sheets>
  <definedNames>
    <definedName name="_Ref156370823" localSheetId="4">'2. Installation steps'!#REF!</definedName>
    <definedName name="_Ref156370824" localSheetId="4">'2. Installation steps'!#REF!</definedName>
    <definedName name="_Ref156370827" localSheetId="4">'2. Installation steps'!#REF!</definedName>
    <definedName name="_Ref156370834" localSheetId="4">'2. Installation steps'!#REF!</definedName>
    <definedName name="_Ref156371649" localSheetId="4">'2. Installation steps'!#REF!</definedName>
    <definedName name="_xlnm.Print_Area" localSheetId="3">'1. General information'!$B$7:$I$33</definedName>
    <definedName name="_xlnm.Print_Area" localSheetId="1">Summary!$B$4:$I$63</definedName>
  </definedNames>
  <calcPr calcId="125725"/>
</workbook>
</file>

<file path=xl/calcChain.xml><?xml version="1.0" encoding="utf-8"?>
<calcChain xmlns="http://schemas.openxmlformats.org/spreadsheetml/2006/main">
  <c r="D10" i="9"/>
  <c r="B12"/>
  <c r="D11"/>
  <c r="B28" i="7"/>
  <c r="B29"/>
  <c r="B12"/>
  <c r="D8" i="1"/>
  <c r="D7"/>
  <c r="I51"/>
  <c r="I55"/>
  <c r="I54"/>
  <c r="I53"/>
  <c r="I52"/>
  <c r="I47"/>
  <c r="I46"/>
  <c r="I32"/>
  <c r="I33"/>
  <c r="I34"/>
  <c r="I31"/>
  <c r="I30"/>
</calcChain>
</file>

<file path=xl/comments1.xml><?xml version="1.0" encoding="utf-8"?>
<comments xmlns="http://schemas.openxmlformats.org/spreadsheetml/2006/main">
  <authors>
    <author>m.gargiulo</author>
  </authors>
  <commentList>
    <comment ref="B24" authorId="0">
      <text>
        <r>
          <rPr>
            <b/>
            <sz val="9"/>
            <color indexed="81"/>
            <rFont val="Tahoma"/>
            <family val="2"/>
          </rPr>
          <t>m.gargiulo:</t>
        </r>
        <r>
          <rPr>
            <sz val="9"/>
            <color indexed="81"/>
            <rFont val="Tahoma"/>
            <family val="2"/>
          </rPr>
          <t xml:space="preserve">
SystemTest
UAT
Performance Test
Production
...</t>
        </r>
      </text>
    </comment>
  </commentList>
</comments>
</file>

<file path=xl/comments2.xml><?xml version="1.0" encoding="utf-8"?>
<comments xmlns="http://schemas.openxmlformats.org/spreadsheetml/2006/main">
  <authors>
    <author>alfonso.costa</author>
  </authors>
  <commentList>
    <comment ref="A9" authorId="0">
      <text>
        <r>
          <rPr>
            <b/>
            <sz val="8"/>
            <color indexed="81"/>
            <rFont val="Tahoma"/>
            <family val="2"/>
          </rPr>
          <t>Select only Component to be install and check string in red</t>
        </r>
      </text>
    </comment>
  </commentList>
</comments>
</file>

<file path=xl/sharedStrings.xml><?xml version="1.0" encoding="utf-8"?>
<sst xmlns="http://schemas.openxmlformats.org/spreadsheetml/2006/main" count="170" uniqueCount="132">
  <si>
    <t>Description</t>
  </si>
  <si>
    <t>Stream</t>
  </si>
  <si>
    <t>Full</t>
  </si>
  <si>
    <t>NAMING CONVENTION</t>
  </si>
  <si>
    <t>Project Release</t>
  </si>
  <si>
    <t>File Container:</t>
  </si>
  <si>
    <t>Components Released</t>
  </si>
  <si>
    <t>Technical Description</t>
  </si>
  <si>
    <t>Target Environment</t>
  </si>
  <si>
    <t>Installation Sequence</t>
  </si>
  <si>
    <t>Tools to be execute</t>
  </si>
  <si>
    <t>Components to be start after installation</t>
  </si>
  <si>
    <t>Components to be stop before installation</t>
  </si>
  <si>
    <t>Est</t>
  </si>
  <si>
    <t>BugFix</t>
  </si>
  <si>
    <t>Short description of the released software</t>
  </si>
  <si>
    <t>Indicate list of released components</t>
  </si>
  <si>
    <t>Indicate list of target environement</t>
  </si>
  <si>
    <t>Indicate list of component</t>
  </si>
  <si>
    <t>Ignore this</t>
  </si>
  <si>
    <t>Indicate a step</t>
  </si>
  <si>
    <t>Select a value from list</t>
  </si>
  <si>
    <t>Indicate list of tools</t>
  </si>
  <si>
    <t>Referents  technical development</t>
  </si>
  <si>
    <t>Indicate contact information of the developers that will support installation team, such as name, e-mail address and telephone number</t>
  </si>
  <si>
    <t>Release Notes:</t>
  </si>
  <si>
    <t>I</t>
  </si>
  <si>
    <t>Ex:</t>
  </si>
  <si>
    <t>PGM1R1.SB.X1.F00.D00.DB00.zip</t>
  </si>
  <si>
    <t>Tag</t>
  </si>
  <si>
    <t>The name of the installation package consists of six tags separated by dot</t>
  </si>
  <si>
    <t>II</t>
  </si>
  <si>
    <t>III</t>
  </si>
  <si>
    <t>IV</t>
  </si>
  <si>
    <t>V</t>
  </si>
  <si>
    <t>VI</t>
  </si>
  <si>
    <t>Installation Package</t>
  </si>
  <si>
    <t>Note</t>
  </si>
  <si>
    <t>The following lines should be edited only by the person making the installation of the software package</t>
  </si>
  <si>
    <t>Communications to the release team (by the group setup)</t>
  </si>
  <si>
    <r>
      <t xml:space="preserve">Project Release:
 </t>
    </r>
    <r>
      <rPr>
        <b/>
        <sz val="9"/>
        <rFont val="Courier"/>
        <family val="3"/>
      </rPr>
      <t>PGM1R1</t>
    </r>
    <r>
      <rPr>
        <sz val="9"/>
        <rFont val="Courier"/>
        <family val="3"/>
      </rPr>
      <t xml:space="preserve"> = Program 1 Release 1</t>
    </r>
  </si>
  <si>
    <r>
      <t xml:space="preserve">STREAM:
 </t>
    </r>
    <r>
      <rPr>
        <b/>
        <sz val="9"/>
        <rFont val="Courier"/>
        <family val="3"/>
      </rPr>
      <t>SB</t>
    </r>
    <r>
      <rPr>
        <sz val="9"/>
        <rFont val="Courier"/>
        <family val="3"/>
      </rPr>
      <t xml:space="preserve"> = Siebel
 </t>
    </r>
    <r>
      <rPr>
        <b/>
        <sz val="9"/>
        <rFont val="Courier"/>
        <family val="3"/>
      </rPr>
      <t>IN</t>
    </r>
    <r>
      <rPr>
        <sz val="9"/>
        <rFont val="Courier"/>
        <family val="3"/>
      </rPr>
      <t xml:space="preserve"> = Integration
 </t>
    </r>
    <r>
      <rPr>
        <b/>
        <sz val="9"/>
        <rFont val="Courier"/>
        <family val="3"/>
      </rPr>
      <t>SR</t>
    </r>
    <r>
      <rPr>
        <sz val="9"/>
        <rFont val="Courier"/>
        <family val="3"/>
      </rPr>
      <t xml:space="preserve"> = S&amp;RM
 </t>
    </r>
    <r>
      <rPr>
        <b/>
        <sz val="9"/>
        <rFont val="Courier"/>
        <family val="3"/>
      </rPr>
      <t>DM</t>
    </r>
    <r>
      <rPr>
        <sz val="9"/>
        <rFont val="Courier"/>
        <family val="3"/>
      </rPr>
      <t xml:space="preserve"> = Data Migration</t>
    </r>
  </si>
  <si>
    <r>
      <t xml:space="preserve">Default Value1:
 </t>
    </r>
    <r>
      <rPr>
        <b/>
        <sz val="9"/>
        <rFont val="Courier"/>
        <family val="3"/>
      </rPr>
      <t>F</t>
    </r>
    <r>
      <rPr>
        <sz val="9"/>
        <rFont val="Courier"/>
        <family val="3"/>
      </rPr>
      <t xml:space="preserve"> = Full</t>
    </r>
  </si>
  <si>
    <r>
      <t xml:space="preserve">Default Value2:
 </t>
    </r>
    <r>
      <rPr>
        <b/>
        <sz val="9"/>
        <rFont val="Courier"/>
        <family val="3"/>
      </rPr>
      <t>D</t>
    </r>
    <r>
      <rPr>
        <sz val="9"/>
        <rFont val="Courier"/>
        <family val="3"/>
      </rPr>
      <t xml:space="preserve"> = Delta</t>
    </r>
  </si>
  <si>
    <r>
      <t xml:space="preserve">Default Value3:
 </t>
    </r>
    <r>
      <rPr>
        <b/>
        <sz val="9"/>
        <rFont val="Courier"/>
        <family val="3"/>
      </rPr>
      <t>BF</t>
    </r>
    <r>
      <rPr>
        <sz val="9"/>
        <rFont val="Courier"/>
        <family val="3"/>
      </rPr>
      <t xml:space="preserve"> = BugFix</t>
    </r>
  </si>
  <si>
    <r>
      <t xml:space="preserve">Wave Software:
 </t>
    </r>
    <r>
      <rPr>
        <b/>
        <sz val="9"/>
        <rFont val="Courier"/>
        <family val="3"/>
      </rPr>
      <t>W0</t>
    </r>
    <r>
      <rPr>
        <sz val="9"/>
        <rFont val="Courier"/>
        <family val="3"/>
      </rPr>
      <t xml:space="preserve"> = 0° Wave - Customer &amp; Customer Account
 </t>
    </r>
    <r>
      <rPr>
        <b/>
        <sz val="9"/>
        <rFont val="Courier"/>
        <family val="3"/>
      </rPr>
      <t>W1</t>
    </r>
    <r>
      <rPr>
        <sz val="9"/>
        <rFont val="Courier"/>
        <family val="3"/>
      </rPr>
      <t xml:space="preserve"> = 1° Wave - Service Request &amp; Order Entry
 </t>
    </r>
    <r>
      <rPr>
        <b/>
        <sz val="9"/>
        <rFont val="Courier"/>
        <family val="3"/>
      </rPr>
      <t>W2</t>
    </r>
    <r>
      <rPr>
        <sz val="9"/>
        <rFont val="Courier"/>
        <family val="3"/>
      </rPr>
      <t xml:space="preserve"> = 2° Wave - Asset &amp; Order Fulfilment
 </t>
    </r>
    <r>
      <rPr>
        <b/>
        <sz val="9"/>
        <rFont val="Courier"/>
        <family val="3"/>
      </rPr>
      <t>W3</t>
    </r>
    <r>
      <rPr>
        <sz val="9"/>
        <rFont val="Courier"/>
        <family val="3"/>
      </rPr>
      <t xml:space="preserve"> = 3° Wave - Order Notifications , Partners Management, Commissioning Management &amp; Change Flows</t>
    </r>
  </si>
  <si>
    <t>Wave Software</t>
  </si>
  <si>
    <t>Is not possible to write in this box</t>
  </si>
  <si>
    <t>Suggestions for completing</t>
  </si>
  <si>
    <t>LEGEND</t>
  </si>
  <si>
    <t xml:space="preserve">Window installation time: 9:00 - 20:00 IT time.
Releases that do not require reboot, received before 2 p.m. , will be installed until 8 p.m.
Releases that do require reboot will be installed between 7 p.m. and 8 p.m. or between 12 a.m. and 1 p.m. of the next day.
</t>
  </si>
  <si>
    <t>Reference (CR/Issue)</t>
  </si>
  <si>
    <t>Technical element delivered</t>
  </si>
  <si>
    <t>Tables / procedures / code elements impacted</t>
  </si>
  <si>
    <t>Step#</t>
  </si>
  <si>
    <t>Step Name</t>
  </si>
  <si>
    <t>Detailed Instructions:</t>
  </si>
  <si>
    <t>Verification Method:</t>
  </si>
  <si>
    <t>Duration</t>
  </si>
  <si>
    <t xml:space="preserve"> </t>
  </si>
  <si>
    <t>Verification Output</t>
  </si>
  <si>
    <t>General Information</t>
  </si>
  <si>
    <t>Environment</t>
  </si>
  <si>
    <r>
      <t xml:space="preserve"> </t>
    </r>
    <r>
      <rPr>
        <b/>
        <sz val="10"/>
        <rFont val="Tahoma"/>
        <family val="2"/>
      </rPr>
      <t>DV</t>
    </r>
    <r>
      <rPr>
        <sz val="10"/>
        <rFont val="Tahoma"/>
        <family val="2"/>
      </rPr>
      <t xml:space="preserve"> = Development
 </t>
    </r>
    <r>
      <rPr>
        <b/>
        <sz val="10"/>
        <rFont val="Tahoma"/>
        <family val="2"/>
      </rPr>
      <t>ST</t>
    </r>
    <r>
      <rPr>
        <sz val="10"/>
        <rFont val="Tahoma"/>
        <family val="2"/>
      </rPr>
      <t xml:space="preserve"> = System Test
</t>
    </r>
    <r>
      <rPr>
        <b/>
        <sz val="10"/>
        <rFont val="Tahoma"/>
        <family val="2"/>
      </rPr>
      <t xml:space="preserve"> IT</t>
    </r>
    <r>
      <rPr>
        <sz val="10"/>
        <rFont val="Tahoma"/>
        <family val="2"/>
      </rPr>
      <t xml:space="preserve"> = Integration Test
 </t>
    </r>
    <r>
      <rPr>
        <b/>
        <sz val="10"/>
        <rFont val="Tahoma"/>
        <family val="2"/>
      </rPr>
      <t>TR</t>
    </r>
    <r>
      <rPr>
        <sz val="10"/>
        <rFont val="Tahoma"/>
        <family val="2"/>
      </rPr>
      <t xml:space="preserve"> = Training
 </t>
    </r>
    <r>
      <rPr>
        <b/>
        <sz val="10"/>
        <rFont val="Tahoma"/>
        <family val="2"/>
      </rPr>
      <t>PT</t>
    </r>
    <r>
      <rPr>
        <sz val="10"/>
        <rFont val="Tahoma"/>
        <family val="2"/>
      </rPr>
      <t xml:space="preserve"> = Performance Test
</t>
    </r>
    <r>
      <rPr>
        <b/>
        <sz val="10"/>
        <rFont val="Tahoma"/>
        <family val="2"/>
      </rPr>
      <t xml:space="preserve"> PR</t>
    </r>
    <r>
      <rPr>
        <sz val="10"/>
        <rFont val="Tahoma"/>
        <family val="2"/>
      </rPr>
      <t xml:space="preserve"> = Production
 </t>
    </r>
    <r>
      <rPr>
        <b/>
        <sz val="10"/>
        <rFont val="Tahoma"/>
        <family val="2"/>
      </rPr>
      <t>PP</t>
    </r>
    <r>
      <rPr>
        <sz val="10"/>
        <rFont val="Tahoma"/>
        <family val="2"/>
      </rPr>
      <t xml:space="preserve"> = Pre-Production</t>
    </r>
  </si>
  <si>
    <r>
      <rPr>
        <b/>
        <sz val="10"/>
        <rFont val="Arial"/>
        <family val="2"/>
      </rPr>
      <t xml:space="preserve">Promotion Install Due Date </t>
    </r>
    <r>
      <rPr>
        <sz val="10"/>
        <rFont val="Arial"/>
        <family val="2"/>
      </rPr>
      <t xml:space="preserve">
(When should the patch be promoted, realistically? – Please enter in the following format dd/mm/yyyy )
</t>
    </r>
  </si>
  <si>
    <r>
      <rPr>
        <b/>
        <sz val="10"/>
        <rFont val="Arial"/>
        <family val="2"/>
      </rPr>
      <t>Patch type</t>
    </r>
    <r>
      <rPr>
        <sz val="10"/>
        <rFont val="Arial"/>
        <family val="2"/>
      </rPr>
      <t xml:space="preserve">
(Does the patch replace one/several (Incremental) or all (Full) components of the application concerned?)
</t>
    </r>
  </si>
  <si>
    <r>
      <rPr>
        <b/>
        <sz val="10"/>
        <rFont val="Arial"/>
        <family val="2"/>
      </rPr>
      <t>Application affected by this patch</t>
    </r>
    <r>
      <rPr>
        <sz val="10"/>
        <rFont val="Arial"/>
        <family val="2"/>
      </rPr>
      <t xml:space="preserve">
(Choose: Siebel, Middleware, S&amp;RM and indicate the Module, e.g. CRM)
</t>
    </r>
  </si>
  <si>
    <r>
      <rPr>
        <b/>
        <sz val="10"/>
        <rFont val="Arial"/>
        <family val="2"/>
      </rPr>
      <t>Client/Server update</t>
    </r>
    <r>
      <rPr>
        <sz val="10"/>
        <rFont val="Arial"/>
        <family val="2"/>
      </rPr>
      <t xml:space="preserve"> 
(Choose: Client, Server or Both)
</t>
    </r>
  </si>
  <si>
    <r>
      <rPr>
        <b/>
        <sz val="10"/>
        <rFont val="Arial"/>
        <family val="2"/>
      </rPr>
      <t xml:space="preserve">Is patch related to a Bill Run? </t>
    </r>
    <r>
      <rPr>
        <sz val="10"/>
        <rFont val="Arial"/>
        <family val="2"/>
      </rPr>
      <t xml:space="preserve">
(Is this fix needed in the context of a bill run? – Choose Yes or No and if Yes, indicate the Month)
</t>
    </r>
  </si>
  <si>
    <r>
      <rPr>
        <b/>
        <sz val="10"/>
        <rFont val="Arial"/>
        <family val="2"/>
      </rPr>
      <t>Installation time constraints</t>
    </r>
    <r>
      <rPr>
        <sz val="10"/>
        <rFont val="Arial"/>
        <family val="2"/>
      </rPr>
      <t xml:space="preserve">
(Can the fix be installed at any time during business hours or should a certain window be respected out of business hours; Has any process -i.e. rating- to be taken into account – Choose: During Business Hours or Outside Business Hours)
</t>
    </r>
  </si>
  <si>
    <r>
      <rPr>
        <b/>
        <sz val="10"/>
        <rFont val="Arial"/>
        <family val="2"/>
      </rPr>
      <t>Installation application constraints</t>
    </r>
    <r>
      <rPr>
        <sz val="10"/>
        <rFont val="Arial"/>
        <family val="2"/>
      </rPr>
      <t xml:space="preserve">
(Should other applications be stopped before installing this patch?)
</t>
    </r>
  </si>
  <si>
    <r>
      <rPr>
        <b/>
        <sz val="10"/>
        <rFont val="Arial"/>
        <family val="2"/>
      </rPr>
      <t xml:space="preserve">Dependencies on other patches </t>
    </r>
    <r>
      <rPr>
        <sz val="10"/>
        <rFont val="Arial"/>
        <family val="2"/>
      </rPr>
      <t xml:space="preserve">
(Is this patch to be installed after, before or together with another patch? If so, please list the patch names.)
</t>
    </r>
  </si>
  <si>
    <r>
      <rPr>
        <b/>
        <sz val="10"/>
        <rFont val="Arial"/>
        <family val="2"/>
      </rPr>
      <t>Estimated time to complete INSTALLATION itself</t>
    </r>
    <r>
      <rPr>
        <sz val="10"/>
        <rFont val="Arial"/>
        <family val="2"/>
      </rPr>
      <t xml:space="preserve">
(Please estimate +-10 min for time &lt;1h, and +-30 min for longer patches). 
The time needed to apply the patch is bigger as it includes communication and pre- and post- patching actions
</t>
    </r>
  </si>
  <si>
    <r>
      <rPr>
        <b/>
        <sz val="10"/>
        <rFont val="Arial"/>
        <family val="2"/>
      </rPr>
      <t>Developer contact</t>
    </r>
    <r>
      <rPr>
        <sz val="10"/>
        <rFont val="Arial"/>
        <family val="2"/>
      </rPr>
      <t xml:space="preserve">
(Who can be contacted in case of questions about this patch)
</t>
    </r>
  </si>
  <si>
    <r>
      <rPr>
        <b/>
        <sz val="10"/>
        <rFont val="Arial"/>
        <family val="2"/>
      </rPr>
      <t>Release Note validated by</t>
    </r>
    <r>
      <rPr>
        <sz val="10"/>
        <rFont val="Arial"/>
        <family val="2"/>
      </rPr>
      <t xml:space="preserve">: 
(Who verified this Release Notes)
</t>
    </r>
  </si>
  <si>
    <t>Incremental</t>
  </si>
  <si>
    <r>
      <rPr>
        <b/>
        <sz val="10"/>
        <rFont val="Arial"/>
        <family val="2"/>
      </rPr>
      <t>Target Environment</t>
    </r>
    <r>
      <rPr>
        <sz val="10"/>
        <rFont val="Arial"/>
        <family val="2"/>
      </rPr>
      <t xml:space="preserve">
( ST | IT | TR | PT | PP | PR)
</t>
    </r>
  </si>
  <si>
    <r>
      <rPr>
        <b/>
        <strike/>
        <sz val="10"/>
        <rFont val="Arial"/>
        <family val="2"/>
      </rPr>
      <t>Patch name</t>
    </r>
    <r>
      <rPr>
        <strike/>
        <sz val="10"/>
        <rFont val="Arial"/>
        <family val="2"/>
      </rPr>
      <t xml:space="preserve">
(Please indicate full patch name in the following format: PGM[0..n]R[0..n].(SB|IN|SR|DM).W[0..3].F[0..n].D[0..n].BF[0..n]
e.g. PGM1R1.IN.W0.F01.D00.BG00.zip</t>
    </r>
  </si>
  <si>
    <r>
      <rPr>
        <b/>
        <strike/>
        <sz val="10"/>
        <rFont val="Arial"/>
        <family val="2"/>
      </rPr>
      <t xml:space="preserve">Patch High Level content </t>
    </r>
    <r>
      <rPr>
        <strike/>
        <sz val="10"/>
        <rFont val="Arial"/>
        <family val="2"/>
      </rPr>
      <t xml:space="preserve">
(General functional description of what the patch does)
</t>
    </r>
  </si>
  <si>
    <t>Developer contact</t>
  </si>
  <si>
    <t>Who can be contacted in case of questions about this patch</t>
  </si>
  <si>
    <t>Name</t>
  </si>
  <si>
    <t>Phone</t>
  </si>
  <si>
    <t>E-mail Address</t>
  </si>
  <si>
    <t>What incidents/change requests does this delivery correct and what does it impact?</t>
  </si>
  <si>
    <r>
      <t>Application affected by this patch</t>
    </r>
    <r>
      <rPr>
        <sz val="11"/>
        <color theme="0"/>
        <rFont val="Arial"/>
        <family val="2"/>
        <charset val="162"/>
      </rPr>
      <t xml:space="preserve">
(Choose: Siebel, Middleware, S&amp;RM and indicate the Module, e.g. CRM)</t>
    </r>
  </si>
  <si>
    <r>
      <t xml:space="preserve">Dependencies on other patches </t>
    </r>
    <r>
      <rPr>
        <sz val="11"/>
        <color theme="0"/>
        <rFont val="Arial"/>
        <family val="2"/>
        <charset val="162"/>
      </rPr>
      <t xml:space="preserve">
(Is this patch to be installed after, before or together with another patch? If so, please list the patch names.)
</t>
    </r>
  </si>
  <si>
    <r>
      <t>Target Environment</t>
    </r>
    <r>
      <rPr>
        <sz val="11"/>
        <color theme="0"/>
        <rFont val="Arial"/>
        <family val="2"/>
        <charset val="162"/>
      </rPr>
      <t xml:space="preserve">
( ST | IT | TR | PT | PP | PR)</t>
    </r>
  </si>
  <si>
    <r>
      <t>Estimated time to complete INSTALLATION itself</t>
    </r>
    <r>
      <rPr>
        <sz val="11"/>
        <color theme="0"/>
        <rFont val="Arial"/>
        <family val="2"/>
        <charset val="162"/>
      </rPr>
      <t xml:space="preserve">
(Please estimate +-10 min for time &lt;1h, and +-30 min for longer patches). 
The time needed to apply the patch is bigger as it includes communication and pre- and post- patching actions</t>
    </r>
  </si>
  <si>
    <t>Please indicate all steps to be executed in the installation process. If detailed documentation exists for installation process of general patches, please include references to chapters of this documentation. Please fill in all the fields:</t>
  </si>
  <si>
    <t>File Extension</t>
  </si>
  <si>
    <t>PGM1R1</t>
  </si>
  <si>
    <t>IN</t>
  </si>
  <si>
    <t>zip</t>
  </si>
  <si>
    <t>Middleware</t>
  </si>
  <si>
    <t xml:space="preserve"> Alone</t>
  </si>
  <si>
    <t>copy/overwrite - InstallDB folder under (/Deploy)</t>
  </si>
  <si>
    <r>
      <t xml:space="preserve">copy/overwrite - </t>
    </r>
    <r>
      <rPr>
        <b/>
        <sz val="10"/>
        <color rgb="FFFF0000"/>
        <rFont val="Arial"/>
        <family val="2"/>
      </rPr>
      <t>sbconfig.jar</t>
    </r>
    <r>
      <rPr>
        <sz val="10"/>
        <color theme="1"/>
        <rFont val="Arial"/>
        <family val="2"/>
      </rPr>
      <t xml:space="preserve"> file under (/DeployOSB/osb_deploy) folder</t>
    </r>
  </si>
  <si>
    <t>check the wls_osb log files under /product/LOGS/INSTTT/OSB - report any errors immediately</t>
  </si>
  <si>
    <t>1 min</t>
  </si>
  <si>
    <t>5 min</t>
  </si>
  <si>
    <r>
      <t xml:space="preserve">copy/overwrite - </t>
    </r>
    <r>
      <rPr>
        <b/>
        <sz val="10"/>
        <color rgb="FFFF0000"/>
        <rFont val="Arial"/>
        <family val="2"/>
      </rPr>
      <t>deploy-components.properties</t>
    </r>
    <r>
      <rPr>
        <sz val="10"/>
        <color theme="1"/>
        <rFont val="Arial"/>
        <family val="2"/>
      </rPr>
      <t xml:space="preserve"> file under (/DeploySCA) folder</t>
    </r>
  </si>
  <si>
    <r>
      <t xml:space="preserve">copy/overwrite - </t>
    </r>
    <r>
      <rPr>
        <b/>
        <sz val="10"/>
        <color rgb="FFFF0000"/>
        <rFont val="Arial"/>
        <family val="2"/>
      </rPr>
      <t>ENV</t>
    </r>
    <r>
      <rPr>
        <sz val="10"/>
        <color theme="1"/>
        <rFont val="Arial"/>
        <family val="2"/>
      </rPr>
      <t xml:space="preserve"> folder under (/DeploySCA) folder</t>
    </r>
  </si>
  <si>
    <t>check the attipConfig.log file under the same folder</t>
  </si>
  <si>
    <t>check if under /IN/ConfigurationPlans, just one cfgplan xml file contain the correct replace of pre-installation steps</t>
  </si>
  <si>
    <r>
      <t xml:space="preserve">launch </t>
    </r>
    <r>
      <rPr>
        <b/>
        <sz val="10"/>
        <color rgb="FFFF0000"/>
        <rFont val="Arial"/>
        <family val="2"/>
      </rPr>
      <t>deploy-config-env.sh</t>
    </r>
    <r>
      <rPr>
        <sz val="10"/>
        <rFont val="Arial"/>
        <family val="2"/>
      </rPr>
      <t xml:space="preserve"> under (/DeploySCA) folder</t>
    </r>
  </si>
  <si>
    <r>
      <t xml:space="preserve">launch the </t>
    </r>
    <r>
      <rPr>
        <b/>
        <sz val="10"/>
        <color rgb="FFFF0000"/>
        <rFont val="Arial"/>
        <family val="2"/>
      </rPr>
      <t>deploy.sh</t>
    </r>
    <r>
      <rPr>
        <sz val="10"/>
        <rFont val="Arial"/>
        <family val="2"/>
      </rPr>
      <t xml:space="preserve"> script under (/DeploySCA) folder</t>
    </r>
  </si>
  <si>
    <t>check the attipDeploy.log file under the same folder - report any errors immediately (ex. [deployComposite] Received HTTP response from the server, response code=500)</t>
  </si>
  <si>
    <t>IT</t>
  </si>
  <si>
    <t>check the attipDeployMDS.log file under the same folder</t>
  </si>
  <si>
    <r>
      <t xml:space="preserve">launch the </t>
    </r>
    <r>
      <rPr>
        <b/>
        <sz val="10"/>
        <color rgb="FFFF0000"/>
        <rFont val="Arial"/>
        <family val="2"/>
      </rPr>
      <t>import.sh</t>
    </r>
    <r>
      <rPr>
        <sz val="10"/>
        <color theme="1"/>
        <rFont val="Arial"/>
        <family val="2"/>
      </rPr>
      <t xml:space="preserve"> script under (/DeployOSB/osb_deploy) folder</t>
    </r>
  </si>
  <si>
    <r>
      <t xml:space="preserve">launch </t>
    </r>
    <r>
      <rPr>
        <b/>
        <sz val="10"/>
        <color rgb="FFFF0000"/>
        <rFont val="Arial"/>
        <family val="2"/>
      </rPr>
      <t>deploy-mds.sh</t>
    </r>
    <r>
      <rPr>
        <sz val="10"/>
        <rFont val="Arial"/>
        <family val="2"/>
      </rPr>
      <t xml:space="preserve"> script under (/DeploySCA) folder</t>
    </r>
  </si>
  <si>
    <t>5 bis</t>
  </si>
  <si>
    <r>
      <t xml:space="preserve">rename the </t>
    </r>
    <r>
      <rPr>
        <b/>
        <sz val="10"/>
        <color rgb="FFFF0000"/>
        <rFont val="Arial"/>
        <family val="2"/>
      </rPr>
      <t>ENV</t>
    </r>
    <r>
      <rPr>
        <sz val="10"/>
        <color theme="1"/>
        <rFont val="Arial"/>
        <family val="2"/>
      </rPr>
      <t xml:space="preserve"> folder with the correct target environment (ex. </t>
    </r>
    <r>
      <rPr>
        <b/>
        <sz val="10"/>
        <color rgb="FFFF0000"/>
        <rFont val="Arial"/>
        <family val="2"/>
      </rPr>
      <t>ST</t>
    </r>
    <r>
      <rPr>
        <sz val="10"/>
        <color theme="1"/>
        <rFont val="Arial"/>
        <family val="2"/>
      </rPr>
      <t xml:space="preserve">, </t>
    </r>
    <r>
      <rPr>
        <b/>
        <sz val="10"/>
        <color rgb="FFFF0000"/>
        <rFont val="Arial"/>
        <family val="2"/>
      </rPr>
      <t>IT</t>
    </r>
    <r>
      <rPr>
        <sz val="10"/>
        <color theme="1"/>
        <rFont val="Arial"/>
        <family val="2"/>
      </rPr>
      <t xml:space="preserve"> ..)</t>
    </r>
  </si>
  <si>
    <t>login to custom DB (target schema)</t>
  </si>
  <si>
    <r>
      <t xml:space="preserve">launch </t>
    </r>
    <r>
      <rPr>
        <b/>
        <i/>
        <sz val="10"/>
        <color rgb="FFFF0000"/>
        <rFont val="Arial"/>
        <family val="2"/>
      </rPr>
      <t>&lt;sql script&gt;</t>
    </r>
    <r>
      <rPr>
        <sz val="10"/>
        <rFont val="Arial"/>
        <family val="2"/>
      </rPr>
      <t xml:space="preserve"> script under the same folder</t>
    </r>
  </si>
  <si>
    <t>check prompt log file</t>
  </si>
  <si>
    <r>
      <t>create / configure SAF-FD queues and ConnectionFactory as "</t>
    </r>
    <r>
      <rPr>
        <b/>
        <sz val="10"/>
        <color rgb="FFFF0000"/>
        <rFont val="Arial"/>
        <family val="2"/>
      </rPr>
      <t>Queues+ConfigSAF-Foreign.xls</t>
    </r>
    <r>
      <rPr>
        <sz val="10"/>
        <rFont val="Arial"/>
        <family val="2"/>
      </rPr>
      <t>" attached
in green (added)
in yellow (modified)
in red (deleted)</t>
    </r>
  </si>
  <si>
    <t>check if all configurations are applied correctly</t>
  </si>
  <si>
    <t>Andrea Rocco</t>
  </si>
  <si>
    <t>0810179599</t>
  </si>
  <si>
    <t>andrea.rocco@accenture.com</t>
  </si>
  <si>
    <t>UAT</t>
  </si>
  <si>
    <t>Released Services:
All services</t>
  </si>
  <si>
    <t>copy and overwrite both files (oracle.soa.ext / SendJmsBAMPublishing) under /product/Middleware/Oracle_SOA1/soa/modules/oracle.soa.ext_11.1.1</t>
  </si>
  <si>
    <t>update SendSensorInfoConfig.propertis (SendJmsBAMPublishing) with the correct target environment (&lt;hostname&gt;&lt;portnumber&gt;&lt;username&gt;&lt;password&gt;)</t>
  </si>
  <si>
    <t>restart all wls server</t>
  </si>
  <si>
    <t>10 min</t>
  </si>
  <si>
    <t>2 min</t>
  </si>
  <si>
    <t>CUSTOM CLASS</t>
  </si>
  <si>
    <t>Release</t>
  </si>
  <si>
    <t>&lt; 15 hours</t>
  </si>
</sst>
</file>

<file path=xl/styles.xml><?xml version="1.0" encoding="utf-8"?>
<styleSheet xmlns="http://schemas.openxmlformats.org/spreadsheetml/2006/main">
  <numFmts count="15">
    <numFmt numFmtId="164" formatCode="0_);[Red]\(0\)"/>
    <numFmt numFmtId="165" formatCode="###,000"/>
    <numFmt numFmtId="166" formatCode="#,#00"/>
    <numFmt numFmtId="167" formatCode="\F#,##0"/>
    <numFmt numFmtId="168" formatCode="\F#,#00"/>
    <numFmt numFmtId="169" formatCode="\D#,#00"/>
    <numFmt numFmtId="170" formatCode="&quot;BG&quot;#,#00"/>
    <numFmt numFmtId="171" formatCode="&quot;Comments: &quot;@"/>
    <numFmt numFmtId="172" formatCode="&quot;Module: &quot;@"/>
    <numFmt numFmtId="173" formatCode="&quot;If yes, which month: &quot;@"/>
    <numFmt numFmtId="174" formatCode="&quot;If yes, please specify details: &quot;@"/>
    <numFmt numFmtId="175" formatCode="&quot;Patch name: &quot;@"/>
    <numFmt numFmtId="176" formatCode="&quot;Name: &quot;@"/>
    <numFmt numFmtId="177" formatCode="&quot;Phone: &quot;@"/>
    <numFmt numFmtId="178" formatCode="&quot;E-mail Address: &quot;@"/>
  </numFmts>
  <fonts count="38">
    <font>
      <sz val="10"/>
      <name val="Arial"/>
    </font>
    <font>
      <sz val="12"/>
      <name val="Times New Roman"/>
      <family val="1"/>
    </font>
    <font>
      <sz val="12"/>
      <name val="Arial"/>
      <family val="2"/>
    </font>
    <font>
      <sz val="8"/>
      <name val="Arial"/>
      <family val="2"/>
    </font>
    <font>
      <sz val="10"/>
      <name val="Arial"/>
      <family val="2"/>
    </font>
    <font>
      <b/>
      <sz val="18"/>
      <color indexed="10"/>
      <name val="Wingdings 2"/>
      <family val="1"/>
      <charset val="2"/>
    </font>
    <font>
      <b/>
      <sz val="11"/>
      <color theme="0"/>
      <name val="Arial"/>
      <family val="2"/>
      <charset val="162"/>
    </font>
    <font>
      <b/>
      <sz val="12"/>
      <color theme="0"/>
      <name val="Arial"/>
      <family val="2"/>
      <charset val="162"/>
    </font>
    <font>
      <sz val="14"/>
      <name val="Arial"/>
      <family val="2"/>
    </font>
    <font>
      <b/>
      <sz val="10"/>
      <color indexed="9"/>
      <name val="Tahoma"/>
      <family val="2"/>
    </font>
    <font>
      <sz val="10"/>
      <name val="Tahoma"/>
      <family val="2"/>
    </font>
    <font>
      <b/>
      <sz val="10"/>
      <name val="Tahoma"/>
      <family val="2"/>
    </font>
    <font>
      <sz val="9"/>
      <name val="Courier"/>
      <family val="3"/>
    </font>
    <font>
      <b/>
      <sz val="12"/>
      <name val="Arial"/>
      <family val="2"/>
    </font>
    <font>
      <sz val="10"/>
      <color theme="0"/>
      <name val="Arial"/>
      <family val="2"/>
    </font>
    <font>
      <sz val="12"/>
      <color theme="0"/>
      <name val="Arial"/>
      <family val="2"/>
    </font>
    <font>
      <b/>
      <sz val="8"/>
      <color theme="1" tint="0.34998626667073579"/>
      <name val="Arial"/>
      <family val="2"/>
    </font>
    <font>
      <sz val="10"/>
      <color theme="1" tint="0.34998626667073579"/>
      <name val="Arial"/>
      <family val="2"/>
    </font>
    <font>
      <b/>
      <sz val="8"/>
      <color theme="1" tint="0.34998626667073579"/>
      <name val="Arial"/>
      <family val="2"/>
      <charset val="162"/>
    </font>
    <font>
      <b/>
      <sz val="9"/>
      <name val="Courier"/>
      <family val="3"/>
    </font>
    <font>
      <b/>
      <sz val="10"/>
      <name val="Arial"/>
      <family val="2"/>
    </font>
    <font>
      <sz val="10"/>
      <color rgb="FFFF0000"/>
      <name val="Tahoma"/>
      <family val="2"/>
    </font>
    <font>
      <sz val="9"/>
      <name val="Arial"/>
      <family val="2"/>
    </font>
    <font>
      <sz val="9"/>
      <color indexed="81"/>
      <name val="Tahoma"/>
      <family val="2"/>
    </font>
    <font>
      <b/>
      <sz val="9"/>
      <color indexed="81"/>
      <name val="Tahoma"/>
      <family val="2"/>
    </font>
    <font>
      <b/>
      <sz val="8"/>
      <color theme="0"/>
      <name val="Arial"/>
      <family val="2"/>
      <charset val="162"/>
    </font>
    <font>
      <b/>
      <sz val="10"/>
      <color indexed="10"/>
      <name val="Wingdings 2"/>
      <family val="1"/>
      <charset val="2"/>
    </font>
    <font>
      <strike/>
      <sz val="10"/>
      <name val="Arial"/>
      <family val="2"/>
    </font>
    <font>
      <b/>
      <strike/>
      <sz val="10"/>
      <name val="Arial"/>
      <family val="2"/>
    </font>
    <font>
      <sz val="11"/>
      <color theme="0"/>
      <name val="Arial"/>
      <family val="2"/>
      <charset val="162"/>
    </font>
    <font>
      <u/>
      <sz val="10"/>
      <color theme="10"/>
      <name val="Arial"/>
      <family val="2"/>
    </font>
    <font>
      <sz val="10"/>
      <color theme="1"/>
      <name val="Arial"/>
      <family val="2"/>
    </font>
    <font>
      <sz val="8"/>
      <name val="Tahoma"/>
      <family val="2"/>
    </font>
    <font>
      <b/>
      <sz val="10"/>
      <color rgb="FFFF0000"/>
      <name val="Arial"/>
      <family val="2"/>
    </font>
    <font>
      <b/>
      <i/>
      <sz val="10"/>
      <color rgb="FFFF0000"/>
      <name val="Arial"/>
      <family val="2"/>
    </font>
    <font>
      <b/>
      <sz val="8"/>
      <color indexed="81"/>
      <name val="Tahoma"/>
      <family val="2"/>
    </font>
    <font>
      <b/>
      <sz val="15"/>
      <color rgb="FFFF0000"/>
      <name val="Arial"/>
      <family val="2"/>
    </font>
    <font>
      <strike/>
      <sz val="12"/>
      <name val="Arial"/>
      <family val="2"/>
    </font>
  </fonts>
  <fills count="15">
    <fill>
      <patternFill patternType="none"/>
    </fill>
    <fill>
      <patternFill patternType="gray125"/>
    </fill>
    <fill>
      <patternFill patternType="solid">
        <fgColor indexed="9"/>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lightGray">
        <fgColor theme="0"/>
        <bgColor theme="0"/>
      </patternFill>
    </fill>
    <fill>
      <patternFill patternType="solid">
        <fgColor theme="0"/>
        <bgColor theme="0"/>
      </patternFill>
    </fill>
    <fill>
      <patternFill patternType="lightGray">
        <fgColor theme="1"/>
        <bgColor theme="6" tint="0.59999389629810485"/>
      </patternFill>
    </fill>
    <fill>
      <patternFill patternType="solid">
        <fgColor theme="6" tint="0.59999389629810485"/>
        <bgColor indexed="64"/>
      </patternFill>
    </fill>
    <fill>
      <patternFill patternType="solid">
        <fgColor theme="0"/>
        <bgColor indexed="64"/>
      </patternFill>
    </fill>
  </fills>
  <borders count="59">
    <border>
      <left/>
      <right/>
      <top/>
      <bottom/>
      <diagonal/>
    </border>
    <border>
      <left style="medium">
        <color indexed="64"/>
      </left>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indexed="64"/>
      </top>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thin">
        <color indexed="64"/>
      </right>
      <top style="medium">
        <color indexed="64"/>
      </top>
      <bottom/>
      <diagonal/>
    </border>
    <border>
      <left style="thin">
        <color indexed="64"/>
      </left>
      <right style="thin">
        <color indexed="64"/>
      </right>
      <top/>
      <bottom style="thin">
        <color indexed="64"/>
      </bottom>
      <diagonal/>
    </border>
    <border>
      <left style="thin">
        <color indexed="64"/>
      </left>
      <right/>
      <top style="medium">
        <color indexed="64"/>
      </top>
      <bottom/>
      <diagonal/>
    </border>
  </borders>
  <cellStyleXfs count="4">
    <xf numFmtId="0" fontId="0" fillId="0" borderId="0"/>
    <xf numFmtId="0" fontId="4" fillId="0" borderId="0"/>
    <xf numFmtId="0" fontId="8" fillId="0" borderId="0"/>
    <xf numFmtId="0" fontId="30" fillId="0" borderId="0" applyNumberFormat="0" applyFill="0" applyBorder="0" applyAlignment="0" applyProtection="0">
      <alignment vertical="top"/>
      <protection locked="0"/>
    </xf>
  </cellStyleXfs>
  <cellXfs count="306">
    <xf numFmtId="0" fontId="0" fillId="0" borderId="0" xfId="0"/>
    <xf numFmtId="0" fontId="2" fillId="2" borderId="0" xfId="0" applyFont="1" applyFill="1" applyBorder="1" applyAlignment="1">
      <alignment horizontal="center" vertical="top"/>
    </xf>
    <xf numFmtId="0" fontId="0" fillId="2" borderId="0" xfId="0" applyFill="1" applyBorder="1"/>
    <xf numFmtId="0" fontId="2" fillId="2" borderId="0" xfId="0" applyFont="1" applyFill="1" applyBorder="1"/>
    <xf numFmtId="0" fontId="1" fillId="2" borderId="0" xfId="0" applyFont="1" applyFill="1" applyBorder="1"/>
    <xf numFmtId="0" fontId="2" fillId="2" borderId="0" xfId="0" applyFont="1" applyFill="1" applyBorder="1" applyAlignment="1">
      <alignment vertical="center" wrapText="1"/>
    </xf>
    <xf numFmtId="0" fontId="2" fillId="2" borderId="0" xfId="0" applyFont="1" applyFill="1" applyBorder="1" applyAlignment="1">
      <alignment vertical="center" wrapText="1"/>
    </xf>
    <xf numFmtId="0" fontId="6" fillId="0" borderId="2" xfId="1" applyFont="1" applyFill="1" applyBorder="1" applyAlignment="1">
      <alignment vertical="center" wrapText="1"/>
    </xf>
    <xf numFmtId="0" fontId="0" fillId="2" borderId="2" xfId="0" applyFill="1" applyBorder="1"/>
    <xf numFmtId="0" fontId="10" fillId="0" borderId="0" xfId="0" applyFont="1" applyBorder="1"/>
    <xf numFmtId="0" fontId="10" fillId="0" borderId="0" xfId="0" applyFont="1"/>
    <xf numFmtId="0" fontId="10" fillId="0" borderId="0" xfId="0" applyFont="1" applyBorder="1" applyAlignment="1">
      <alignment horizontal="center" vertical="center"/>
    </xf>
    <xf numFmtId="0" fontId="10" fillId="0" borderId="0" xfId="0" applyFont="1" applyFill="1" applyBorder="1"/>
    <xf numFmtId="0" fontId="11" fillId="0" borderId="0" xfId="0" applyFont="1" applyFill="1" applyBorder="1" applyAlignment="1">
      <alignment horizontal="center"/>
    </xf>
    <xf numFmtId="0" fontId="12" fillId="0" borderId="0" xfId="0" applyFont="1" applyBorder="1" applyAlignment="1">
      <alignment vertical="center" wrapText="1"/>
    </xf>
    <xf numFmtId="164" fontId="9" fillId="0" borderId="0" xfId="2" applyNumberFormat="1" applyFont="1" applyFill="1" applyBorder="1" applyAlignment="1">
      <alignment vertical="center"/>
    </xf>
    <xf numFmtId="0" fontId="12" fillId="0" borderId="12" xfId="0" applyFont="1" applyBorder="1" applyAlignment="1">
      <alignment vertical="center" wrapText="1"/>
    </xf>
    <xf numFmtId="0" fontId="12" fillId="0" borderId="12" xfId="0" applyFont="1" applyBorder="1" applyAlignment="1">
      <alignment horizontal="left" vertical="center" wrapText="1"/>
    </xf>
    <xf numFmtId="0" fontId="12" fillId="0" borderId="6" xfId="0" applyFont="1" applyBorder="1" applyAlignment="1">
      <alignment horizontal="left" vertical="center" wrapText="1"/>
    </xf>
    <xf numFmtId="0" fontId="7" fillId="3" borderId="25" xfId="1" applyFont="1" applyFill="1" applyBorder="1" applyAlignment="1">
      <alignment horizontal="center" vertical="center" wrapText="1"/>
    </xf>
    <xf numFmtId="0" fontId="7" fillId="3" borderId="26" xfId="1" applyFont="1" applyFill="1" applyBorder="1" applyAlignment="1">
      <alignment horizontal="center" vertical="center" wrapText="1"/>
    </xf>
    <xf numFmtId="0" fontId="7" fillId="3" borderId="27" xfId="1" applyFont="1" applyFill="1" applyBorder="1" applyAlignment="1">
      <alignment horizontal="center" vertical="center" wrapText="1"/>
    </xf>
    <xf numFmtId="0" fontId="2" fillId="2" borderId="0" xfId="0" applyFont="1" applyFill="1" applyBorder="1" applyAlignment="1">
      <alignment shrinkToFit="1"/>
    </xf>
    <xf numFmtId="0" fontId="2" fillId="2" borderId="0" xfId="0" applyFont="1" applyFill="1" applyBorder="1" applyAlignment="1">
      <alignment wrapText="1"/>
    </xf>
    <xf numFmtId="0" fontId="0" fillId="0" borderId="0" xfId="0" applyBorder="1" applyAlignment="1">
      <alignment wrapText="1"/>
    </xf>
    <xf numFmtId="0" fontId="5" fillId="0" borderId="0" xfId="0" applyFont="1" applyBorder="1" applyAlignment="1">
      <alignment horizontal="center" wrapText="1"/>
    </xf>
    <xf numFmtId="0" fontId="12" fillId="0" borderId="6" xfId="0" applyFont="1" applyBorder="1" applyAlignment="1">
      <alignment vertical="center" wrapText="1"/>
    </xf>
    <xf numFmtId="0" fontId="4" fillId="2" borderId="0" xfId="0" applyFont="1" applyFill="1" applyBorder="1"/>
    <xf numFmtId="0" fontId="2" fillId="0" borderId="0" xfId="0" applyFont="1" applyFill="1" applyBorder="1" applyAlignment="1">
      <alignment vertical="center"/>
    </xf>
    <xf numFmtId="165" fontId="0" fillId="2" borderId="0" xfId="0" applyNumberFormat="1" applyFill="1" applyBorder="1"/>
    <xf numFmtId="167" fontId="4" fillId="2" borderId="0" xfId="0" applyNumberFormat="1" applyFont="1" applyFill="1" applyBorder="1"/>
    <xf numFmtId="0" fontId="7" fillId="3" borderId="37" xfId="1" applyFont="1" applyFill="1" applyBorder="1" applyAlignment="1">
      <alignment horizontal="center" vertical="center" wrapText="1"/>
    </xf>
    <xf numFmtId="0" fontId="14" fillId="0" borderId="0" xfId="0" applyFont="1" applyFill="1" applyBorder="1"/>
    <xf numFmtId="0" fontId="15" fillId="0" borderId="0" xfId="0" applyFont="1" applyFill="1" applyBorder="1" applyAlignment="1">
      <alignment horizontal="center" vertical="center"/>
    </xf>
    <xf numFmtId="168" fontId="15" fillId="0" borderId="0" xfId="0" applyNumberFormat="1" applyFont="1" applyFill="1" applyBorder="1" applyAlignment="1">
      <alignment horizontal="center" vertical="center"/>
    </xf>
    <xf numFmtId="169" fontId="15" fillId="0" borderId="0" xfId="0" applyNumberFormat="1" applyFont="1" applyFill="1" applyBorder="1" applyAlignment="1">
      <alignment horizontal="center" vertical="center"/>
    </xf>
    <xf numFmtId="170" fontId="15" fillId="0" borderId="0" xfId="0" applyNumberFormat="1" applyFont="1" applyFill="1" applyBorder="1" applyAlignment="1">
      <alignment horizontal="center" vertical="center"/>
    </xf>
    <xf numFmtId="166" fontId="15" fillId="0" borderId="0" xfId="0" applyNumberFormat="1" applyFont="1" applyFill="1" applyBorder="1" applyAlignment="1">
      <alignment horizontal="center" vertical="center"/>
    </xf>
    <xf numFmtId="167" fontId="14" fillId="0" borderId="0" xfId="0" applyNumberFormat="1" applyFont="1" applyFill="1" applyBorder="1"/>
    <xf numFmtId="0" fontId="2" fillId="4" borderId="42" xfId="0" applyFont="1" applyFill="1" applyBorder="1" applyAlignment="1">
      <alignment horizontal="center" vertical="center"/>
    </xf>
    <xf numFmtId="0" fontId="2" fillId="4" borderId="43" xfId="0" applyFont="1" applyFill="1" applyBorder="1" applyAlignment="1">
      <alignment horizontal="center" vertical="center"/>
    </xf>
    <xf numFmtId="168" fontId="2" fillId="2" borderId="43" xfId="0" applyNumberFormat="1" applyFont="1" applyFill="1" applyBorder="1" applyAlignment="1">
      <alignment horizontal="center" vertical="center"/>
    </xf>
    <xf numFmtId="169" fontId="2" fillId="2" borderId="43" xfId="0" applyNumberFormat="1" applyFont="1" applyFill="1" applyBorder="1" applyAlignment="1">
      <alignment horizontal="center" vertical="center"/>
    </xf>
    <xf numFmtId="170" fontId="2" fillId="2" borderId="43" xfId="0" applyNumberFormat="1" applyFont="1" applyFill="1" applyBorder="1" applyAlignment="1">
      <alignment horizontal="center" vertical="center"/>
    </xf>
    <xf numFmtId="0" fontId="2" fillId="2" borderId="45" xfId="0" applyFont="1" applyFill="1" applyBorder="1" applyAlignment="1">
      <alignment horizontal="center" vertical="center"/>
    </xf>
    <xf numFmtId="0" fontId="0" fillId="0" borderId="0" xfId="0" applyBorder="1"/>
    <xf numFmtId="166" fontId="2" fillId="4" borderId="44" xfId="0" applyNumberFormat="1" applyFont="1" applyFill="1" applyBorder="1" applyAlignment="1">
      <alignment horizontal="center" vertical="center"/>
    </xf>
    <xf numFmtId="0" fontId="17" fillId="2" borderId="0" xfId="0" applyFont="1" applyFill="1" applyBorder="1"/>
    <xf numFmtId="0" fontId="16" fillId="7" borderId="27" xfId="1" applyFont="1" applyFill="1" applyBorder="1" applyAlignment="1">
      <alignment horizontal="center" vertical="center" wrapText="1"/>
    </xf>
    <xf numFmtId="0" fontId="12" fillId="0" borderId="0" xfId="0" applyFont="1" applyFill="1" applyBorder="1" applyAlignment="1">
      <alignment horizontal="left" vertical="center" wrapText="1"/>
    </xf>
    <xf numFmtId="0" fontId="12" fillId="0" borderId="0" xfId="0" applyFont="1" applyFill="1" applyBorder="1" applyAlignment="1">
      <alignment horizontal="center" vertical="center" wrapText="1"/>
    </xf>
    <xf numFmtId="0" fontId="20" fillId="5" borderId="20" xfId="0" applyFont="1" applyFill="1" applyBorder="1" applyAlignment="1">
      <alignment horizontal="center" vertical="center"/>
    </xf>
    <xf numFmtId="0" fontId="11" fillId="0" borderId="6" xfId="0" applyFont="1" applyBorder="1" applyAlignment="1">
      <alignment horizontal="center" vertical="center" wrapText="1"/>
    </xf>
    <xf numFmtId="164" fontId="10" fillId="0" borderId="0" xfId="2" applyNumberFormat="1" applyFont="1" applyFill="1" applyBorder="1" applyAlignment="1">
      <alignment vertical="center" wrapText="1"/>
    </xf>
    <xf numFmtId="164" fontId="10" fillId="0" borderId="0" xfId="2" applyNumberFormat="1" applyFont="1" applyFill="1" applyBorder="1" applyAlignment="1">
      <alignment vertical="center"/>
    </xf>
    <xf numFmtId="0" fontId="22" fillId="0" borderId="0" xfId="0" applyFont="1" applyFill="1" applyBorder="1" applyAlignment="1">
      <alignment vertical="center"/>
    </xf>
    <xf numFmtId="164" fontId="10" fillId="4" borderId="3" xfId="2" applyNumberFormat="1" applyFont="1" applyFill="1" applyBorder="1" applyAlignment="1">
      <alignment vertical="center" wrapText="1"/>
    </xf>
    <xf numFmtId="0" fontId="22" fillId="0" borderId="5" xfId="0" applyFont="1" applyFill="1" applyBorder="1" applyAlignment="1">
      <alignment horizontal="left" vertical="center"/>
    </xf>
    <xf numFmtId="164" fontId="10" fillId="5" borderId="9" xfId="2" applyNumberFormat="1" applyFont="1" applyFill="1" applyBorder="1" applyAlignment="1">
      <alignment vertical="center"/>
    </xf>
    <xf numFmtId="0" fontId="22" fillId="0" borderId="11" xfId="0" applyFont="1" applyFill="1" applyBorder="1" applyAlignment="1">
      <alignment horizontal="left" vertical="center"/>
    </xf>
    <xf numFmtId="164" fontId="10" fillId="7" borderId="16" xfId="2" applyNumberFormat="1" applyFont="1" applyFill="1" applyBorder="1" applyAlignment="1">
      <alignment vertical="center"/>
    </xf>
    <xf numFmtId="0" fontId="22" fillId="0" borderId="18" xfId="0" applyFont="1" applyFill="1" applyBorder="1" applyAlignment="1">
      <alignment vertical="center"/>
    </xf>
    <xf numFmtId="0" fontId="7" fillId="3" borderId="3" xfId="1" applyFont="1" applyFill="1" applyBorder="1" applyAlignment="1">
      <alignment horizontal="center" vertical="center" wrapText="1"/>
    </xf>
    <xf numFmtId="0" fontId="7" fillId="3" borderId="4" xfId="1" applyFont="1" applyFill="1" applyBorder="1" applyAlignment="1">
      <alignment horizontal="center" vertical="center" wrapText="1"/>
    </xf>
    <xf numFmtId="0" fontId="25" fillId="0" borderId="0" xfId="1" applyFont="1" applyFill="1" applyBorder="1" applyAlignment="1">
      <alignment vertical="center" wrapText="1"/>
    </xf>
    <xf numFmtId="0" fontId="7" fillId="3" borderId="5" xfId="1" applyFont="1" applyFill="1" applyBorder="1" applyAlignment="1">
      <alignment horizontal="center" vertical="center" wrapText="1"/>
    </xf>
    <xf numFmtId="0" fontId="26" fillId="5" borderId="49" xfId="0" applyFont="1" applyFill="1" applyBorder="1" applyAlignment="1">
      <alignment horizontal="center" wrapText="1"/>
    </xf>
    <xf numFmtId="0" fontId="26" fillId="5" borderId="11" xfId="0" applyFont="1" applyFill="1" applyBorder="1" applyAlignment="1">
      <alignment horizontal="center" wrapText="1"/>
    </xf>
    <xf numFmtId="0" fontId="26" fillId="5" borderId="18" xfId="0" applyFont="1" applyFill="1" applyBorder="1" applyAlignment="1">
      <alignment horizontal="center" wrapText="1"/>
    </xf>
    <xf numFmtId="0" fontId="26" fillId="6" borderId="49" xfId="0" applyFont="1" applyFill="1" applyBorder="1" applyAlignment="1">
      <alignment horizontal="center" wrapText="1"/>
    </xf>
    <xf numFmtId="0" fontId="26" fillId="6" borderId="18" xfId="0" applyFont="1" applyFill="1" applyBorder="1" applyAlignment="1">
      <alignment horizontal="center" wrapText="1"/>
    </xf>
    <xf numFmtId="0" fontId="26" fillId="6" borderId="5" xfId="0" applyFont="1" applyFill="1" applyBorder="1" applyAlignment="1">
      <alignment horizontal="center" wrapText="1"/>
    </xf>
    <xf numFmtId="0" fontId="26" fillId="6" borderId="11" xfId="0" applyFont="1" applyFill="1" applyBorder="1" applyAlignment="1">
      <alignment horizontal="center" wrapText="1"/>
    </xf>
    <xf numFmtId="0" fontId="0" fillId="0" borderId="0" xfId="0" applyAlignment="1">
      <alignment horizontal="left" vertical="center"/>
    </xf>
    <xf numFmtId="0" fontId="4" fillId="0" borderId="9" xfId="0" applyFont="1" applyBorder="1" applyAlignment="1">
      <alignment horizontal="left" vertical="center" wrapText="1"/>
    </xf>
    <xf numFmtId="0" fontId="4" fillId="0" borderId="10" xfId="0" applyFont="1" applyBorder="1" applyAlignment="1">
      <alignment horizontal="left" vertical="center" wrapText="1"/>
    </xf>
    <xf numFmtId="0" fontId="4" fillId="9" borderId="9" xfId="0" applyFont="1" applyFill="1" applyBorder="1" applyAlignment="1">
      <alignment horizontal="left" vertical="center" wrapText="1"/>
    </xf>
    <xf numFmtId="0" fontId="4" fillId="9" borderId="10" xfId="0" applyFont="1" applyFill="1" applyBorder="1" applyAlignment="1">
      <alignment horizontal="left" vertical="center" wrapText="1"/>
    </xf>
    <xf numFmtId="0" fontId="4" fillId="4" borderId="10" xfId="0" applyFont="1" applyFill="1" applyBorder="1" applyAlignment="1">
      <alignment vertical="center" wrapText="1"/>
    </xf>
    <xf numFmtId="171" fontId="4" fillId="0" borderId="11" xfId="0" applyNumberFormat="1" applyFont="1" applyBorder="1" applyAlignment="1">
      <alignment vertical="center" wrapText="1"/>
    </xf>
    <xf numFmtId="172" fontId="4" fillId="9" borderId="11" xfId="0" applyNumberFormat="1" applyFont="1" applyFill="1" applyBorder="1" applyAlignment="1">
      <alignment horizontal="left" vertical="center" wrapText="1"/>
    </xf>
    <xf numFmtId="173" fontId="4" fillId="0" borderId="11" xfId="0" applyNumberFormat="1" applyFont="1" applyBorder="1" applyAlignment="1">
      <alignment vertical="center" wrapText="1"/>
    </xf>
    <xf numFmtId="174" fontId="4" fillId="0" borderId="11" xfId="0" applyNumberFormat="1" applyFont="1" applyBorder="1" applyAlignment="1">
      <alignment vertical="center" wrapText="1"/>
    </xf>
    <xf numFmtId="175" fontId="4" fillId="0" borderId="11" xfId="0" applyNumberFormat="1" applyFont="1" applyBorder="1" applyAlignment="1">
      <alignment horizontal="left" vertical="center" wrapText="1"/>
    </xf>
    <xf numFmtId="176" fontId="4" fillId="0" borderId="10" xfId="0" applyNumberFormat="1" applyFont="1" applyBorder="1" applyAlignment="1">
      <alignment vertical="center" wrapText="1"/>
    </xf>
    <xf numFmtId="177" fontId="4" fillId="0" borderId="11" xfId="0" applyNumberFormat="1" applyFont="1" applyBorder="1" applyAlignment="1">
      <alignment vertical="center" wrapText="1"/>
    </xf>
    <xf numFmtId="0" fontId="27" fillId="0" borderId="3" xfId="0" applyFont="1" applyBorder="1" applyAlignment="1">
      <alignment horizontal="left" vertical="center" wrapText="1"/>
    </xf>
    <xf numFmtId="0" fontId="27" fillId="0" borderId="9" xfId="0" applyFont="1" applyBorder="1" applyAlignment="1">
      <alignment horizontal="left" vertical="center" wrapText="1"/>
    </xf>
    <xf numFmtId="0" fontId="16" fillId="0" borderId="20" xfId="1" applyFont="1" applyFill="1" applyBorder="1" applyAlignment="1">
      <alignment horizontal="center" vertical="center" wrapText="1"/>
    </xf>
    <xf numFmtId="0" fontId="4" fillId="0" borderId="0" xfId="0" applyFont="1" applyBorder="1" applyAlignment="1">
      <alignment vertical="center" wrapText="1"/>
    </xf>
    <xf numFmtId="0" fontId="7" fillId="0" borderId="0" xfId="1" applyFont="1" applyFill="1" applyBorder="1" applyAlignment="1">
      <alignment horizontal="center" vertical="center" wrapText="1"/>
    </xf>
    <xf numFmtId="0" fontId="4" fillId="0" borderId="26" xfId="0" applyNumberFormat="1" applyFont="1" applyFill="1" applyBorder="1" applyAlignment="1">
      <alignment horizontal="left" vertical="center" wrapText="1"/>
    </xf>
    <xf numFmtId="0" fontId="6" fillId="3" borderId="25" xfId="1" applyFont="1" applyFill="1" applyBorder="1" applyAlignment="1">
      <alignment horizontal="center" vertical="center" wrapText="1"/>
    </xf>
    <xf numFmtId="172" fontId="4" fillId="0" borderId="27" xfId="0" applyNumberFormat="1" applyFont="1" applyFill="1" applyBorder="1" applyAlignment="1">
      <alignment horizontal="left" vertical="top" wrapText="1"/>
    </xf>
    <xf numFmtId="0" fontId="4" fillId="0" borderId="0" xfId="0" applyFont="1" applyBorder="1" applyAlignment="1">
      <alignment horizontal="center" wrapText="1"/>
    </xf>
    <xf numFmtId="0" fontId="4" fillId="0" borderId="20" xfId="0" applyFont="1" applyBorder="1" applyAlignment="1">
      <alignment horizontal="center" wrapText="1"/>
    </xf>
    <xf numFmtId="0" fontId="3" fillId="0" borderId="16" xfId="0" applyFont="1" applyBorder="1" applyAlignment="1">
      <alignment horizontal="center" vertical="top" wrapText="1"/>
    </xf>
    <xf numFmtId="0" fontId="6" fillId="3" borderId="25" xfId="1" applyFont="1" applyFill="1" applyBorder="1" applyAlignment="1">
      <alignment horizontal="center" vertical="center" wrapText="1"/>
    </xf>
    <xf numFmtId="0" fontId="4" fillId="0" borderId="9" xfId="0" applyFont="1" applyBorder="1" applyAlignment="1">
      <alignment horizontal="center" vertical="top" wrapText="1"/>
    </xf>
    <xf numFmtId="0" fontId="7" fillId="12" borderId="55" xfId="1" applyFont="1" applyFill="1" applyBorder="1" applyAlignment="1">
      <alignment horizontal="center" vertical="center" wrapText="1"/>
    </xf>
    <xf numFmtId="0" fontId="7" fillId="12" borderId="57" xfId="1" applyFont="1" applyFill="1" applyBorder="1" applyAlignment="1">
      <alignment horizontal="center" vertical="center" wrapText="1"/>
    </xf>
    <xf numFmtId="0" fontId="7" fillId="12" borderId="49" xfId="1" applyFont="1" applyFill="1" applyBorder="1" applyAlignment="1">
      <alignment horizontal="center" vertical="center" wrapText="1"/>
    </xf>
    <xf numFmtId="0" fontId="0" fillId="14" borderId="0" xfId="0" applyFill="1" applyAlignment="1">
      <alignment vertical="center"/>
    </xf>
    <xf numFmtId="0" fontId="0" fillId="13" borderId="9" xfId="0" applyFill="1" applyBorder="1" applyAlignment="1">
      <alignment horizontal="center" vertical="center"/>
    </xf>
    <xf numFmtId="0" fontId="31" fillId="13" borderId="10" xfId="0" applyFont="1" applyFill="1" applyBorder="1" applyAlignment="1">
      <alignment horizontal="left" vertical="center" wrapText="1"/>
    </xf>
    <xf numFmtId="0" fontId="4" fillId="13" borderId="10" xfId="0" applyFont="1" applyFill="1" applyBorder="1" applyAlignment="1">
      <alignment vertical="center" wrapText="1"/>
    </xf>
    <xf numFmtId="0" fontId="3" fillId="13" borderId="10" xfId="0" applyFont="1" applyFill="1" applyBorder="1" applyAlignment="1">
      <alignment vertical="center" wrapText="1"/>
    </xf>
    <xf numFmtId="0" fontId="4" fillId="13" borderId="11" xfId="0" applyFont="1" applyFill="1" applyBorder="1" applyAlignment="1">
      <alignment vertical="center"/>
    </xf>
    <xf numFmtId="0" fontId="0" fillId="12" borderId="9" xfId="0" applyFill="1" applyBorder="1" applyAlignment="1">
      <alignment horizontal="center" vertical="center"/>
    </xf>
    <xf numFmtId="0" fontId="31" fillId="12" borderId="10" xfId="0" applyFont="1" applyFill="1" applyBorder="1" applyAlignment="1">
      <alignment horizontal="left" vertical="center" wrapText="1"/>
    </xf>
    <xf numFmtId="0" fontId="4" fillId="12" borderId="10" xfId="0" applyFont="1" applyFill="1" applyBorder="1" applyAlignment="1">
      <alignment vertical="center" wrapText="1"/>
    </xf>
    <xf numFmtId="0" fontId="4" fillId="12" borderId="11" xfId="0" applyFont="1" applyFill="1" applyBorder="1" applyAlignment="1">
      <alignment vertical="center"/>
    </xf>
    <xf numFmtId="0" fontId="0" fillId="13" borderId="10" xfId="0" applyFill="1" applyBorder="1" applyAlignment="1">
      <alignment horizontal="left" vertical="center" wrapText="1"/>
    </xf>
    <xf numFmtId="0" fontId="0" fillId="13" borderId="10" xfId="0" applyFill="1" applyBorder="1" applyAlignment="1">
      <alignment vertical="center"/>
    </xf>
    <xf numFmtId="0" fontId="0" fillId="13" borderId="11" xfId="0" applyFill="1" applyBorder="1" applyAlignment="1">
      <alignment vertical="center"/>
    </xf>
    <xf numFmtId="0" fontId="0" fillId="12" borderId="10" xfId="0" applyFill="1" applyBorder="1" applyAlignment="1">
      <alignment horizontal="left" vertical="center" wrapText="1"/>
    </xf>
    <xf numFmtId="0" fontId="0" fillId="12" borderId="10" xfId="0" applyFill="1" applyBorder="1" applyAlignment="1">
      <alignment vertical="center"/>
    </xf>
    <xf numFmtId="0" fontId="0" fillId="12" borderId="11" xfId="0" applyFill="1" applyBorder="1" applyAlignment="1">
      <alignment vertical="center"/>
    </xf>
    <xf numFmtId="0" fontId="0" fillId="10" borderId="0" xfId="0" applyFill="1" applyAlignment="1">
      <alignment vertical="center"/>
    </xf>
    <xf numFmtId="0" fontId="0" fillId="11" borderId="0" xfId="0" applyFill="1" applyAlignment="1">
      <alignment vertical="center"/>
    </xf>
    <xf numFmtId="0" fontId="4" fillId="13" borderId="10" xfId="0" applyFont="1" applyFill="1" applyBorder="1" applyAlignment="1">
      <alignment horizontal="left" vertical="center" wrapText="1"/>
    </xf>
    <xf numFmtId="0" fontId="0" fillId="13" borderId="39" xfId="0" applyFill="1" applyBorder="1" applyAlignment="1">
      <alignment horizontal="center" vertical="center"/>
    </xf>
    <xf numFmtId="0" fontId="0" fillId="13" borderId="13" xfId="0" applyFill="1" applyBorder="1" applyAlignment="1">
      <alignment horizontal="center" vertical="center"/>
    </xf>
    <xf numFmtId="0" fontId="0" fillId="13" borderId="17" xfId="0" applyFill="1" applyBorder="1" applyAlignment="1">
      <alignment horizontal="left" vertical="center" wrapText="1"/>
    </xf>
    <xf numFmtId="0" fontId="0" fillId="13" borderId="17" xfId="0" applyFill="1" applyBorder="1" applyAlignment="1">
      <alignment vertical="center"/>
    </xf>
    <xf numFmtId="0" fontId="0" fillId="13" borderId="18" xfId="0" applyFill="1" applyBorder="1" applyAlignment="1">
      <alignment vertical="center"/>
    </xf>
    <xf numFmtId="0" fontId="4" fillId="13" borderId="39" xfId="0" applyFont="1" applyFill="1" applyBorder="1" applyAlignment="1">
      <alignment horizontal="center" vertical="center" wrapText="1"/>
    </xf>
    <xf numFmtId="0" fontId="4" fillId="13" borderId="13" xfId="0" applyFont="1" applyFill="1" applyBorder="1" applyAlignment="1">
      <alignment horizontal="center" vertical="center" wrapText="1"/>
    </xf>
    <xf numFmtId="0" fontId="4" fillId="13" borderId="10" xfId="0" applyFont="1" applyFill="1" applyBorder="1" applyAlignment="1">
      <alignment vertical="center"/>
    </xf>
    <xf numFmtId="0" fontId="4" fillId="13" borderId="39" xfId="0" applyFont="1" applyFill="1" applyBorder="1" applyAlignment="1">
      <alignment horizontal="center" vertical="center" wrapText="1"/>
    </xf>
    <xf numFmtId="0" fontId="4" fillId="13" borderId="13" xfId="0" applyFont="1" applyFill="1" applyBorder="1" applyAlignment="1">
      <alignment horizontal="center" vertical="center" wrapText="1"/>
    </xf>
    <xf numFmtId="0" fontId="20" fillId="13" borderId="9" xfId="0" applyFont="1" applyFill="1" applyBorder="1" applyAlignment="1">
      <alignment horizontal="center" vertical="top" wrapText="1"/>
    </xf>
    <xf numFmtId="0" fontId="4" fillId="13" borderId="9" xfId="0" applyFont="1" applyFill="1" applyBorder="1" applyAlignment="1">
      <alignment horizontal="center" vertical="center"/>
    </xf>
    <xf numFmtId="0" fontId="15" fillId="2" borderId="0" xfId="0" applyFont="1" applyFill="1" applyBorder="1" applyAlignment="1">
      <alignment horizontal="center" vertical="top"/>
    </xf>
    <xf numFmtId="0" fontId="4" fillId="13" borderId="9" xfId="0" applyFont="1" applyFill="1" applyBorder="1" applyAlignment="1">
      <alignment horizontal="center" vertical="center" wrapText="1"/>
    </xf>
    <xf numFmtId="0" fontId="36" fillId="0" borderId="0" xfId="0" applyFont="1" applyAlignment="1">
      <alignment horizontal="center" vertical="center"/>
    </xf>
    <xf numFmtId="0" fontId="0" fillId="9" borderId="9" xfId="0" applyFill="1" applyBorder="1" applyAlignment="1">
      <alignment horizontal="center" vertical="center"/>
    </xf>
    <xf numFmtId="0" fontId="0" fillId="9" borderId="10" xfId="0" applyFill="1" applyBorder="1" applyAlignment="1">
      <alignment vertical="center"/>
    </xf>
    <xf numFmtId="0" fontId="4" fillId="9" borderId="11" xfId="0" applyFont="1" applyFill="1" applyBorder="1" applyAlignment="1">
      <alignment vertical="center"/>
    </xf>
    <xf numFmtId="0" fontId="0" fillId="9" borderId="39" xfId="0" applyFill="1" applyBorder="1" applyAlignment="1">
      <alignment horizontal="center" vertical="center"/>
    </xf>
    <xf numFmtId="0" fontId="0" fillId="9" borderId="13" xfId="0" applyFill="1" applyBorder="1" applyAlignment="1">
      <alignment horizontal="center" vertical="center"/>
    </xf>
    <xf numFmtId="164" fontId="10" fillId="0" borderId="0" xfId="2" applyNumberFormat="1" applyFont="1" applyFill="1" applyBorder="1" applyAlignment="1">
      <alignment horizontal="center" vertical="center" wrapText="1"/>
    </xf>
    <xf numFmtId="164" fontId="10" fillId="0" borderId="0" xfId="2" applyNumberFormat="1" applyFont="1" applyFill="1" applyBorder="1" applyAlignment="1">
      <alignment horizontal="center" vertical="center"/>
    </xf>
    <xf numFmtId="0" fontId="7" fillId="3" borderId="0" xfId="1" applyFont="1" applyFill="1" applyBorder="1" applyAlignment="1">
      <alignment horizontal="center" vertical="center" wrapText="1"/>
    </xf>
    <xf numFmtId="0" fontId="7" fillId="3" borderId="50" xfId="1" applyFont="1" applyFill="1" applyBorder="1" applyAlignment="1">
      <alignment horizontal="center" vertical="center" wrapText="1"/>
    </xf>
    <xf numFmtId="164" fontId="21" fillId="0" borderId="51" xfId="2" applyNumberFormat="1" applyFont="1" applyFill="1" applyBorder="1" applyAlignment="1">
      <alignment horizontal="center" vertical="top" wrapText="1"/>
    </xf>
    <xf numFmtId="164" fontId="21" fillId="0" borderId="52" xfId="2" applyNumberFormat="1" applyFont="1" applyFill="1" applyBorder="1" applyAlignment="1">
      <alignment horizontal="center" vertical="top" wrapText="1"/>
    </xf>
    <xf numFmtId="164" fontId="21" fillId="0" borderId="48" xfId="2" applyNumberFormat="1" applyFont="1" applyFill="1" applyBorder="1" applyAlignment="1">
      <alignment horizontal="center" vertical="top" wrapText="1"/>
    </xf>
    <xf numFmtId="164" fontId="21" fillId="0" borderId="47" xfId="2" applyNumberFormat="1" applyFont="1" applyFill="1" applyBorder="1" applyAlignment="1">
      <alignment horizontal="center" vertical="top" wrapText="1"/>
    </xf>
    <xf numFmtId="0" fontId="11" fillId="0" borderId="33" xfId="0" applyFont="1" applyBorder="1" applyAlignment="1">
      <alignment horizontal="center" vertical="center" wrapText="1"/>
    </xf>
    <xf numFmtId="0" fontId="11" fillId="0" borderId="41" xfId="0" applyFont="1" applyBorder="1" applyAlignment="1">
      <alignment horizontal="center" vertical="center" wrapText="1"/>
    </xf>
    <xf numFmtId="0" fontId="12" fillId="0" borderId="33" xfId="0" applyFont="1" applyBorder="1" applyAlignment="1">
      <alignment horizontal="center" vertical="center" wrapText="1"/>
    </xf>
    <xf numFmtId="0" fontId="12" fillId="0" borderId="41" xfId="0" applyFont="1" applyBorder="1" applyAlignment="1">
      <alignment horizontal="center" vertical="center" wrapText="1"/>
    </xf>
    <xf numFmtId="0" fontId="20" fillId="5" borderId="20" xfId="0" applyFont="1" applyFill="1" applyBorder="1" applyAlignment="1">
      <alignment horizontal="center" vertical="center"/>
    </xf>
    <xf numFmtId="0" fontId="18" fillId="7" borderId="0" xfId="1" applyFont="1" applyFill="1" applyBorder="1" applyAlignment="1">
      <alignment horizontal="center" vertical="center" wrapText="1"/>
    </xf>
    <xf numFmtId="0" fontId="10" fillId="0" borderId="0" xfId="0" applyFont="1" applyAlignment="1">
      <alignment horizontal="left" vertical="center" wrapText="1"/>
    </xf>
    <xf numFmtId="0" fontId="4" fillId="2" borderId="22" xfId="0" applyFont="1" applyFill="1" applyBorder="1" applyAlignment="1">
      <alignment wrapText="1"/>
    </xf>
    <xf numFmtId="0" fontId="4" fillId="0" borderId="23" xfId="0" applyFont="1" applyBorder="1" applyAlignment="1">
      <alignment wrapText="1"/>
    </xf>
    <xf numFmtId="0" fontId="4" fillId="0" borderId="36" xfId="0" applyFont="1" applyBorder="1" applyAlignment="1">
      <alignment wrapText="1"/>
    </xf>
    <xf numFmtId="0" fontId="4" fillId="2" borderId="9" xfId="0" applyFont="1" applyFill="1" applyBorder="1" applyAlignment="1">
      <alignment wrapText="1"/>
    </xf>
    <xf numFmtId="0" fontId="4" fillId="0" borderId="10" xfId="0" applyFont="1" applyBorder="1" applyAlignment="1">
      <alignment wrapText="1"/>
    </xf>
    <xf numFmtId="0" fontId="6" fillId="3" borderId="32" xfId="1" applyFont="1" applyFill="1" applyBorder="1" applyAlignment="1">
      <alignment horizontal="center" vertical="center" wrapText="1"/>
    </xf>
    <xf numFmtId="0" fontId="6" fillId="3" borderId="33" xfId="1" applyFont="1" applyFill="1" applyBorder="1" applyAlignment="1">
      <alignment horizontal="center" vertical="center" wrapText="1"/>
    </xf>
    <xf numFmtId="0" fontId="6" fillId="3" borderId="34" xfId="1" applyFont="1" applyFill="1" applyBorder="1" applyAlignment="1">
      <alignment horizontal="center" vertical="center" wrapText="1"/>
    </xf>
    <xf numFmtId="0" fontId="4" fillId="4" borderId="48" xfId="0" applyFont="1" applyFill="1" applyBorder="1" applyAlignment="1">
      <alignment horizontal="center" vertical="center" wrapText="1"/>
    </xf>
    <xf numFmtId="0" fontId="4" fillId="4" borderId="47" xfId="0" applyFont="1" applyFill="1" applyBorder="1" applyAlignment="1">
      <alignment horizontal="center" vertical="center" wrapText="1"/>
    </xf>
    <xf numFmtId="0" fontId="4" fillId="4" borderId="40" xfId="0" applyFont="1" applyFill="1" applyBorder="1" applyAlignment="1">
      <alignment horizontal="center" vertical="center" wrapText="1"/>
    </xf>
    <xf numFmtId="0" fontId="4" fillId="4" borderId="36" xfId="0" applyFont="1" applyFill="1" applyBorder="1" applyAlignment="1">
      <alignment horizontal="center" vertical="center" wrapText="1"/>
    </xf>
    <xf numFmtId="0" fontId="4" fillId="4" borderId="38" xfId="0" applyFont="1" applyFill="1" applyBorder="1" applyAlignment="1">
      <alignment horizontal="center" vertical="center" wrapText="1"/>
    </xf>
    <xf numFmtId="0" fontId="4" fillId="4" borderId="35" xfId="0" applyFont="1" applyFill="1" applyBorder="1" applyAlignment="1">
      <alignment horizontal="center" vertical="center" wrapText="1"/>
    </xf>
    <xf numFmtId="0" fontId="4" fillId="4" borderId="39" xfId="0" applyFont="1" applyFill="1" applyBorder="1" applyAlignment="1">
      <alignment horizontal="center" vertical="center" wrapText="1"/>
    </xf>
    <xf numFmtId="0" fontId="4" fillId="4" borderId="13" xfId="0" applyFont="1" applyFill="1" applyBorder="1" applyAlignment="1">
      <alignment horizontal="center" vertical="center" wrapText="1"/>
    </xf>
    <xf numFmtId="0" fontId="16" fillId="7" borderId="25" xfId="1" applyFont="1" applyFill="1" applyBorder="1" applyAlignment="1">
      <alignment horizontal="center" vertical="center" wrapText="1"/>
    </xf>
    <xf numFmtId="0" fontId="16" fillId="7" borderId="26" xfId="1" applyFont="1" applyFill="1" applyBorder="1" applyAlignment="1">
      <alignment horizontal="center" vertical="center" wrapText="1"/>
    </xf>
    <xf numFmtId="0" fontId="16" fillId="7" borderId="28" xfId="1" applyFont="1" applyFill="1" applyBorder="1" applyAlignment="1">
      <alignment horizontal="center" vertical="center" wrapText="1"/>
    </xf>
    <xf numFmtId="0" fontId="16" fillId="7" borderId="29" xfId="1" applyFont="1" applyFill="1" applyBorder="1" applyAlignment="1">
      <alignment horizontal="center" vertical="center" wrapText="1"/>
    </xf>
    <xf numFmtId="0" fontId="16" fillId="7" borderId="30" xfId="1" applyFont="1" applyFill="1" applyBorder="1" applyAlignment="1">
      <alignment horizontal="center" vertical="center" wrapText="1"/>
    </xf>
    <xf numFmtId="0" fontId="4" fillId="2" borderId="46" xfId="0" applyFont="1" applyFill="1" applyBorder="1" applyAlignment="1">
      <alignment wrapText="1"/>
    </xf>
    <xf numFmtId="0" fontId="4" fillId="0" borderId="41" xfId="0" applyFont="1" applyBorder="1" applyAlignment="1">
      <alignment wrapText="1"/>
    </xf>
    <xf numFmtId="0" fontId="4" fillId="0" borderId="47" xfId="0" applyFont="1" applyBorder="1" applyAlignment="1">
      <alignment wrapText="1"/>
    </xf>
    <xf numFmtId="0" fontId="4" fillId="2" borderId="7" xfId="0" applyFont="1" applyFill="1" applyBorder="1" applyAlignment="1">
      <alignment wrapText="1"/>
    </xf>
    <xf numFmtId="0" fontId="4" fillId="0" borderId="6" xfId="0" applyFont="1" applyBorder="1" applyAlignment="1">
      <alignment wrapText="1"/>
    </xf>
    <xf numFmtId="0" fontId="4" fillId="0" borderId="13" xfId="0" applyFont="1" applyBorder="1" applyAlignment="1">
      <alignment wrapText="1"/>
    </xf>
    <xf numFmtId="0" fontId="4" fillId="2" borderId="16" xfId="0" applyFont="1" applyFill="1" applyBorder="1" applyAlignment="1">
      <alignment wrapText="1"/>
    </xf>
    <xf numFmtId="0" fontId="4" fillId="0" borderId="17" xfId="0" applyFont="1" applyBorder="1" applyAlignment="1">
      <alignment wrapText="1"/>
    </xf>
    <xf numFmtId="0" fontId="4" fillId="2" borderId="14" xfId="0" applyFont="1" applyFill="1" applyBorder="1" applyAlignment="1">
      <alignment horizontal="left" shrinkToFit="1"/>
    </xf>
    <xf numFmtId="0" fontId="4" fillId="2" borderId="15" xfId="0" applyFont="1" applyFill="1" applyBorder="1" applyAlignment="1">
      <alignment horizontal="left" shrinkToFit="1"/>
    </xf>
    <xf numFmtId="0" fontId="4" fillId="2" borderId="31" xfId="0" applyFont="1" applyFill="1" applyBorder="1" applyAlignment="1">
      <alignment horizontal="left" shrinkToFit="1"/>
    </xf>
    <xf numFmtId="0" fontId="4" fillId="2" borderId="22" xfId="0" applyFont="1" applyFill="1" applyBorder="1" applyAlignment="1">
      <alignment horizontal="left" shrinkToFit="1"/>
    </xf>
    <xf numFmtId="0" fontId="4" fillId="2" borderId="23" xfId="0" applyFont="1" applyFill="1" applyBorder="1" applyAlignment="1">
      <alignment horizontal="left" shrinkToFit="1"/>
    </xf>
    <xf numFmtId="0" fontId="4" fillId="2" borderId="24" xfId="0" applyFont="1" applyFill="1" applyBorder="1" applyAlignment="1">
      <alignment horizontal="left" shrinkToFit="1"/>
    </xf>
    <xf numFmtId="0" fontId="6" fillId="3" borderId="28" xfId="1" applyFont="1" applyFill="1" applyBorder="1" applyAlignment="1">
      <alignment horizontal="center" vertical="center" wrapText="1"/>
    </xf>
    <xf numFmtId="0" fontId="6" fillId="3" borderId="29" xfId="1" applyFont="1" applyFill="1" applyBorder="1" applyAlignment="1">
      <alignment horizontal="center" vertical="center" wrapText="1"/>
    </xf>
    <xf numFmtId="0" fontId="6" fillId="3" borderId="30" xfId="1" applyFont="1" applyFill="1" applyBorder="1" applyAlignment="1">
      <alignment horizontal="center" vertical="center" wrapText="1"/>
    </xf>
    <xf numFmtId="0" fontId="4" fillId="2" borderId="7" xfId="0" applyFont="1" applyFill="1" applyBorder="1" applyAlignment="1">
      <alignment horizontal="left" shrinkToFit="1"/>
    </xf>
    <xf numFmtId="0" fontId="4" fillId="2" borderId="6" xfId="0" applyFont="1" applyFill="1" applyBorder="1" applyAlignment="1">
      <alignment horizontal="left" shrinkToFit="1"/>
    </xf>
    <xf numFmtId="0" fontId="4" fillId="2" borderId="8" xfId="0" applyFont="1" applyFill="1" applyBorder="1" applyAlignment="1">
      <alignment horizontal="left" shrinkToFit="1"/>
    </xf>
    <xf numFmtId="0" fontId="7" fillId="3" borderId="3" xfId="1" applyFont="1" applyFill="1" applyBorder="1" applyAlignment="1">
      <alignment horizontal="center" vertical="center" wrapText="1"/>
    </xf>
    <xf numFmtId="0" fontId="7" fillId="3" borderId="4" xfId="1" applyFont="1" applyFill="1" applyBorder="1" applyAlignment="1">
      <alignment horizontal="center" vertical="center" wrapText="1"/>
    </xf>
    <xf numFmtId="0" fontId="13" fillId="5" borderId="4" xfId="0" applyFont="1" applyFill="1" applyBorder="1" applyAlignment="1">
      <alignment horizontal="left" vertical="center"/>
    </xf>
    <xf numFmtId="0" fontId="13" fillId="5" borderId="5" xfId="0" applyFont="1" applyFill="1" applyBorder="1" applyAlignment="1">
      <alignment horizontal="left" vertical="center"/>
    </xf>
    <xf numFmtId="0" fontId="7" fillId="3" borderId="16" xfId="1" applyFont="1" applyFill="1" applyBorder="1" applyAlignment="1">
      <alignment horizontal="center" vertical="center" wrapText="1"/>
    </xf>
    <xf numFmtId="0" fontId="7" fillId="3" borderId="17" xfId="1" applyFont="1" applyFill="1" applyBorder="1" applyAlignment="1">
      <alignment horizontal="center" vertical="center" wrapText="1"/>
    </xf>
    <xf numFmtId="0" fontId="13" fillId="5" borderId="40" xfId="0" applyFont="1" applyFill="1" applyBorder="1" applyAlignment="1">
      <alignment horizontal="left" vertical="center"/>
    </xf>
    <xf numFmtId="0" fontId="13" fillId="5" borderId="23" xfId="0" applyFont="1" applyFill="1" applyBorder="1" applyAlignment="1">
      <alignment horizontal="left" vertical="center"/>
    </xf>
    <xf numFmtId="0" fontId="13" fillId="5" borderId="24" xfId="0" applyFont="1" applyFill="1" applyBorder="1" applyAlignment="1">
      <alignment horizontal="left" vertical="center"/>
    </xf>
    <xf numFmtId="0" fontId="4" fillId="2" borderId="32" xfId="0" applyFont="1" applyFill="1" applyBorder="1" applyAlignment="1">
      <alignment vertical="center" wrapText="1"/>
    </xf>
    <xf numFmtId="0" fontId="4" fillId="2" borderId="33" xfId="0" applyFont="1" applyFill="1" applyBorder="1" applyAlignment="1">
      <alignment vertical="center" wrapText="1"/>
    </xf>
    <xf numFmtId="0" fontId="4" fillId="2" borderId="34" xfId="0" applyFont="1" applyFill="1" applyBorder="1" applyAlignment="1">
      <alignment vertical="center" wrapText="1"/>
    </xf>
    <xf numFmtId="0" fontId="4" fillId="2" borderId="1" xfId="0" applyFont="1" applyFill="1" applyBorder="1" applyAlignment="1">
      <alignment vertical="center" wrapText="1"/>
    </xf>
    <xf numFmtId="0" fontId="4" fillId="2" borderId="0" xfId="0" applyFont="1" applyFill="1" applyBorder="1" applyAlignment="1">
      <alignment vertical="center" wrapText="1"/>
    </xf>
    <xf numFmtId="0" fontId="4" fillId="2" borderId="2" xfId="0" applyFont="1" applyFill="1" applyBorder="1" applyAlignment="1">
      <alignment vertical="center" wrapText="1"/>
    </xf>
    <xf numFmtId="0" fontId="4" fillId="2" borderId="19" xfId="0" applyFont="1" applyFill="1" applyBorder="1" applyAlignment="1">
      <alignment vertical="center" wrapText="1"/>
    </xf>
    <xf numFmtId="0" fontId="4" fillId="2" borderId="20" xfId="0" applyFont="1" applyFill="1" applyBorder="1" applyAlignment="1">
      <alignment vertical="center" wrapText="1"/>
    </xf>
    <xf numFmtId="0" fontId="4" fillId="2" borderId="21" xfId="0" applyFont="1" applyFill="1" applyBorder="1" applyAlignment="1">
      <alignment vertical="center" wrapText="1"/>
    </xf>
    <xf numFmtId="0" fontId="6" fillId="8" borderId="28" xfId="1" applyFont="1" applyFill="1" applyBorder="1" applyAlignment="1">
      <alignment horizontal="center" vertical="center" wrapText="1"/>
    </xf>
    <xf numFmtId="0" fontId="6" fillId="8" borderId="29" xfId="1" applyFont="1" applyFill="1" applyBorder="1" applyAlignment="1">
      <alignment horizontal="center" vertical="center" wrapText="1"/>
    </xf>
    <xf numFmtId="0" fontId="6" fillId="8" borderId="30" xfId="1" applyFont="1" applyFill="1" applyBorder="1" applyAlignment="1">
      <alignment horizontal="center" vertical="center" wrapText="1"/>
    </xf>
    <xf numFmtId="0" fontId="4" fillId="2" borderId="3" xfId="0" applyFont="1" applyFill="1" applyBorder="1" applyAlignment="1">
      <alignment wrapText="1"/>
    </xf>
    <xf numFmtId="0" fontId="4" fillId="0" borderId="4" xfId="0" applyFont="1" applyBorder="1" applyAlignment="1">
      <alignment wrapText="1"/>
    </xf>
    <xf numFmtId="178" fontId="4" fillId="0" borderId="39" xfId="0" applyNumberFormat="1" applyFont="1" applyBorder="1" applyAlignment="1">
      <alignment horizontal="left" vertical="center" wrapText="1"/>
    </xf>
    <xf numFmtId="178" fontId="4" fillId="0" borderId="8" xfId="0" applyNumberFormat="1" applyFont="1" applyBorder="1" applyAlignment="1">
      <alignment horizontal="left" vertical="center" wrapText="1"/>
    </xf>
    <xf numFmtId="0" fontId="4" fillId="0" borderId="54" xfId="0" applyFont="1" applyBorder="1" applyAlignment="1">
      <alignment horizontal="left" vertical="center" wrapText="1"/>
    </xf>
    <xf numFmtId="0" fontId="4" fillId="0" borderId="55" xfId="0" applyFont="1" applyBorder="1" applyAlignment="1">
      <alignment horizontal="left" vertical="center" wrapText="1"/>
    </xf>
    <xf numFmtId="0" fontId="7" fillId="3" borderId="32" xfId="1" applyFont="1" applyFill="1" applyBorder="1" applyAlignment="1">
      <alignment horizontal="center" vertical="center" wrapText="1"/>
    </xf>
    <xf numFmtId="0" fontId="7" fillId="3" borderId="33" xfId="1" applyFont="1" applyFill="1" applyBorder="1" applyAlignment="1">
      <alignment horizontal="center" vertical="center" wrapText="1"/>
    </xf>
    <xf numFmtId="0" fontId="7" fillId="3" borderId="56" xfId="1" applyFont="1" applyFill="1" applyBorder="1" applyAlignment="1">
      <alignment horizontal="center" vertical="center" wrapText="1"/>
    </xf>
    <xf numFmtId="0" fontId="4" fillId="0" borderId="4" xfId="0" applyFont="1" applyBorder="1" applyAlignment="1">
      <alignment horizontal="left" vertical="center" wrapText="1"/>
    </xf>
    <xf numFmtId="0" fontId="4" fillId="0" borderId="5" xfId="0" applyFont="1" applyBorder="1" applyAlignment="1">
      <alignment horizontal="left" vertical="center" wrapText="1"/>
    </xf>
    <xf numFmtId="0" fontId="2" fillId="4" borderId="51" xfId="0" applyFont="1" applyFill="1" applyBorder="1" applyAlignment="1">
      <alignment horizontal="center" vertical="center"/>
    </xf>
    <xf numFmtId="0" fontId="2" fillId="4" borderId="53" xfId="0" applyFont="1" applyFill="1" applyBorder="1" applyAlignment="1">
      <alignment horizontal="center" vertical="center"/>
    </xf>
    <xf numFmtId="0" fontId="16" fillId="7" borderId="22" xfId="1" applyFont="1" applyFill="1" applyBorder="1" applyAlignment="1">
      <alignment horizontal="center" vertical="center" wrapText="1"/>
    </xf>
    <xf numFmtId="0" fontId="16" fillId="7" borderId="23" xfId="1" applyFont="1" applyFill="1" applyBorder="1" applyAlignment="1">
      <alignment horizontal="center" vertical="center" wrapText="1"/>
    </xf>
    <xf numFmtId="0" fontId="4" fillId="0" borderId="39" xfId="0" applyFont="1" applyBorder="1" applyAlignment="1">
      <alignment horizontal="center" vertical="center" wrapText="1"/>
    </xf>
    <xf numFmtId="0" fontId="4" fillId="0" borderId="8" xfId="0" applyFont="1" applyBorder="1" applyAlignment="1">
      <alignment horizontal="center" vertical="center" wrapText="1"/>
    </xf>
    <xf numFmtId="14" fontId="4" fillId="0" borderId="39" xfId="0" applyNumberFormat="1" applyFont="1" applyBorder="1" applyAlignment="1">
      <alignment horizontal="center" vertical="center" wrapText="1"/>
    </xf>
    <xf numFmtId="0" fontId="4" fillId="4" borderId="8" xfId="0" applyFont="1" applyFill="1" applyBorder="1" applyAlignment="1">
      <alignment horizontal="center" vertical="center" wrapText="1"/>
    </xf>
    <xf numFmtId="0" fontId="7" fillId="3" borderId="28" xfId="1" applyFont="1" applyFill="1" applyBorder="1" applyAlignment="1">
      <alignment horizontal="center" vertical="center" wrapText="1"/>
    </xf>
    <xf numFmtId="0" fontId="7" fillId="3" borderId="29" xfId="1" applyFont="1" applyFill="1" applyBorder="1" applyAlignment="1">
      <alignment horizontal="center" vertical="center" wrapText="1"/>
    </xf>
    <xf numFmtId="0" fontId="7" fillId="3" borderId="30" xfId="1" applyFont="1" applyFill="1" applyBorder="1" applyAlignment="1">
      <alignment horizontal="center" vertical="center" wrapText="1"/>
    </xf>
    <xf numFmtId="0" fontId="20" fillId="0" borderId="16" xfId="0" applyFont="1" applyFill="1" applyBorder="1" applyAlignment="1">
      <alignment horizontal="center" shrinkToFit="1"/>
    </xf>
    <xf numFmtId="0" fontId="20" fillId="0" borderId="17" xfId="0" applyFont="1" applyFill="1" applyBorder="1" applyAlignment="1">
      <alignment horizontal="center" shrinkToFit="1"/>
    </xf>
    <xf numFmtId="0" fontId="20" fillId="0" borderId="18" xfId="0" applyFont="1" applyFill="1" applyBorder="1" applyAlignment="1">
      <alignment horizontal="center" shrinkToFit="1"/>
    </xf>
    <xf numFmtId="0" fontId="20" fillId="0" borderId="9" xfId="0" applyFont="1" applyFill="1" applyBorder="1" applyAlignment="1">
      <alignment horizontal="center" shrinkToFit="1"/>
    </xf>
    <xf numFmtId="0" fontId="20" fillId="0" borderId="10" xfId="0" applyFont="1" applyFill="1" applyBorder="1" applyAlignment="1">
      <alignment horizontal="center" shrinkToFit="1"/>
    </xf>
    <xf numFmtId="49" fontId="20" fillId="13" borderId="10" xfId="0" applyNumberFormat="1" applyFont="1" applyFill="1" applyBorder="1" applyAlignment="1">
      <alignment horizontal="center" shrinkToFit="1"/>
    </xf>
    <xf numFmtId="0" fontId="30" fillId="13" borderId="10" xfId="3" applyFill="1" applyBorder="1" applyAlignment="1" applyProtection="1">
      <alignment horizontal="center" shrinkToFit="1"/>
    </xf>
    <xf numFmtId="0" fontId="20" fillId="13" borderId="10" xfId="0" applyFont="1" applyFill="1" applyBorder="1" applyAlignment="1">
      <alignment horizontal="center" shrinkToFit="1"/>
    </xf>
    <xf numFmtId="0" fontId="20" fillId="13" borderId="11" xfId="0" applyFont="1" applyFill="1" applyBorder="1" applyAlignment="1">
      <alignment horizontal="center" shrinkToFit="1"/>
    </xf>
    <xf numFmtId="0" fontId="20" fillId="0" borderId="11" xfId="0" applyFont="1" applyFill="1" applyBorder="1" applyAlignment="1">
      <alignment horizontal="center" shrinkToFit="1"/>
    </xf>
    <xf numFmtId="0" fontId="20" fillId="13" borderId="9" xfId="0" applyFont="1" applyFill="1" applyBorder="1" applyAlignment="1">
      <alignment horizontal="center" shrinkToFit="1"/>
    </xf>
    <xf numFmtId="0" fontId="4" fillId="2" borderId="58" xfId="0" applyFont="1" applyFill="1" applyBorder="1" applyAlignment="1">
      <alignment horizontal="center"/>
    </xf>
    <xf numFmtId="0" fontId="0" fillId="2" borderId="33" xfId="0" applyFill="1" applyBorder="1" applyAlignment="1">
      <alignment horizontal="center"/>
    </xf>
    <xf numFmtId="0" fontId="0" fillId="2" borderId="56" xfId="0" applyFill="1" applyBorder="1" applyAlignment="1">
      <alignment horizontal="center"/>
    </xf>
    <xf numFmtId="0" fontId="4" fillId="0" borderId="10" xfId="0" applyFont="1" applyBorder="1" applyAlignment="1">
      <alignment horizontal="center" vertical="top" wrapText="1"/>
    </xf>
    <xf numFmtId="0" fontId="3" fillId="0" borderId="17" xfId="0" applyFont="1" applyBorder="1" applyAlignment="1">
      <alignment horizontal="center" vertical="top" wrapText="1"/>
    </xf>
    <xf numFmtId="0" fontId="16" fillId="7" borderId="32" xfId="1" applyFont="1" applyFill="1" applyBorder="1" applyAlignment="1">
      <alignment horizontal="center" vertical="center" wrapText="1"/>
    </xf>
    <xf numFmtId="0" fontId="16" fillId="7" borderId="33" xfId="1" applyFont="1" applyFill="1" applyBorder="1" applyAlignment="1">
      <alignment horizontal="center" vertical="center" wrapText="1"/>
    </xf>
    <xf numFmtId="0" fontId="16" fillId="7" borderId="34" xfId="1" applyFont="1" applyFill="1" applyBorder="1" applyAlignment="1">
      <alignment horizontal="center" vertical="center" wrapText="1"/>
    </xf>
    <xf numFmtId="0" fontId="20" fillId="7" borderId="3" xfId="0" applyFont="1" applyFill="1" applyBorder="1" applyAlignment="1">
      <alignment horizontal="center" shrinkToFit="1"/>
    </xf>
    <xf numFmtId="0" fontId="20" fillId="7" borderId="4" xfId="0" applyFont="1" applyFill="1" applyBorder="1" applyAlignment="1">
      <alignment horizontal="center" shrinkToFit="1"/>
    </xf>
    <xf numFmtId="0" fontId="20" fillId="7" borderId="5" xfId="0" applyFont="1" applyFill="1" applyBorder="1" applyAlignment="1">
      <alignment horizontal="center" shrinkToFit="1"/>
    </xf>
    <xf numFmtId="0" fontId="4" fillId="13" borderId="10" xfId="0" applyFont="1" applyFill="1" applyBorder="1" applyAlignment="1">
      <alignment horizontal="center" vertical="top" wrapText="1"/>
    </xf>
    <xf numFmtId="0" fontId="20" fillId="13" borderId="10" xfId="0" applyFont="1" applyFill="1" applyBorder="1" applyAlignment="1">
      <alignment horizontal="center" vertical="top" wrapText="1"/>
    </xf>
    <xf numFmtId="0" fontId="20" fillId="13" borderId="11" xfId="0" applyFont="1" applyFill="1" applyBorder="1" applyAlignment="1">
      <alignment horizontal="center" vertical="top" wrapText="1"/>
    </xf>
    <xf numFmtId="0" fontId="4" fillId="0" borderId="11" xfId="0" applyFont="1" applyBorder="1" applyAlignment="1">
      <alignment horizontal="center" vertical="top" wrapText="1"/>
    </xf>
    <xf numFmtId="0" fontId="3" fillId="0" borderId="18" xfId="0" applyFont="1" applyBorder="1" applyAlignment="1">
      <alignment horizontal="center" vertical="top" wrapText="1"/>
    </xf>
    <xf numFmtId="0" fontId="7" fillId="3" borderId="5" xfId="1" applyFont="1" applyFill="1" applyBorder="1" applyAlignment="1">
      <alignment horizontal="center" vertical="center" wrapText="1"/>
    </xf>
    <xf numFmtId="0" fontId="16" fillId="7" borderId="9" xfId="1" applyFont="1" applyFill="1" applyBorder="1" applyAlignment="1">
      <alignment horizontal="center" vertical="center" wrapText="1"/>
    </xf>
    <xf numFmtId="0" fontId="16" fillId="7" borderId="10" xfId="1" applyFont="1" applyFill="1" applyBorder="1" applyAlignment="1">
      <alignment horizontal="center" vertical="center" wrapText="1"/>
    </xf>
    <xf numFmtId="0" fontId="16" fillId="7" borderId="11" xfId="1" applyFont="1" applyFill="1" applyBorder="1" applyAlignment="1">
      <alignment horizontal="center" vertical="center" wrapText="1"/>
    </xf>
    <xf numFmtId="0" fontId="4" fillId="13" borderId="32" xfId="0" applyFont="1" applyFill="1" applyBorder="1" applyAlignment="1">
      <alignment vertical="center" wrapText="1"/>
    </xf>
    <xf numFmtId="0" fontId="4" fillId="13" borderId="33" xfId="0" applyFont="1" applyFill="1" applyBorder="1" applyAlignment="1">
      <alignment vertical="center" wrapText="1"/>
    </xf>
    <xf numFmtId="0" fontId="4" fillId="13" borderId="34" xfId="0" applyFont="1" applyFill="1" applyBorder="1" applyAlignment="1">
      <alignment vertical="center" wrapText="1"/>
    </xf>
    <xf numFmtId="0" fontId="4" fillId="13" borderId="1" xfId="0" applyFont="1" applyFill="1" applyBorder="1" applyAlignment="1">
      <alignment vertical="center" wrapText="1"/>
    </xf>
    <xf numFmtId="0" fontId="4" fillId="13" borderId="0" xfId="0" applyFont="1" applyFill="1" applyBorder="1" applyAlignment="1">
      <alignment vertical="center" wrapText="1"/>
    </xf>
    <xf numFmtId="0" fontId="4" fillId="13" borderId="2" xfId="0" applyFont="1" applyFill="1" applyBorder="1" applyAlignment="1">
      <alignment vertical="center" wrapText="1"/>
    </xf>
    <xf numFmtId="0" fontId="4" fillId="13" borderId="19" xfId="0" applyFont="1" applyFill="1" applyBorder="1" applyAlignment="1">
      <alignment vertical="center" wrapText="1"/>
    </xf>
    <xf numFmtId="0" fontId="4" fillId="13" borderId="20" xfId="0" applyFont="1" applyFill="1" applyBorder="1" applyAlignment="1">
      <alignment vertical="center" wrapText="1"/>
    </xf>
    <xf numFmtId="0" fontId="4" fillId="13" borderId="21" xfId="0" applyFont="1" applyFill="1" applyBorder="1" applyAlignment="1">
      <alignment vertical="center" wrapText="1"/>
    </xf>
    <xf numFmtId="0" fontId="6" fillId="3" borderId="25" xfId="1" applyFont="1" applyFill="1" applyBorder="1" applyAlignment="1">
      <alignment horizontal="center" vertical="center" wrapText="1"/>
    </xf>
    <xf numFmtId="0" fontId="6" fillId="3" borderId="26" xfId="1" applyFont="1" applyFill="1" applyBorder="1" applyAlignment="1">
      <alignment horizontal="center" vertical="center" wrapText="1"/>
    </xf>
    <xf numFmtId="0" fontId="37" fillId="13" borderId="26" xfId="0" applyFont="1" applyFill="1" applyBorder="1" applyAlignment="1">
      <alignment horizontal="center" vertical="center"/>
    </xf>
    <xf numFmtId="0" fontId="37" fillId="13" borderId="27" xfId="0" applyFont="1" applyFill="1" applyBorder="1" applyAlignment="1">
      <alignment horizontal="center" vertical="center"/>
    </xf>
    <xf numFmtId="0" fontId="4" fillId="13" borderId="26" xfId="0" applyFont="1" applyFill="1" applyBorder="1" applyAlignment="1">
      <alignment horizontal="center" vertical="center" wrapText="1"/>
    </xf>
    <xf numFmtId="0" fontId="4" fillId="13" borderId="27" xfId="0" applyFont="1" applyFill="1" applyBorder="1" applyAlignment="1">
      <alignment horizontal="center" vertical="center" wrapText="1"/>
    </xf>
    <xf numFmtId="0" fontId="6" fillId="3" borderId="27" xfId="1" applyFont="1" applyFill="1" applyBorder="1" applyAlignment="1">
      <alignment horizontal="center" vertical="center" wrapText="1"/>
    </xf>
    <xf numFmtId="175" fontId="4" fillId="0" borderId="28" xfId="0" applyNumberFormat="1" applyFont="1" applyBorder="1" applyAlignment="1">
      <alignment horizontal="left" vertical="top" wrapText="1"/>
    </xf>
    <xf numFmtId="175" fontId="4" fillId="0" borderId="30" xfId="0" applyNumberFormat="1" applyFont="1" applyBorder="1" applyAlignment="1">
      <alignment horizontal="left" vertical="top" wrapText="1"/>
    </xf>
    <xf numFmtId="0" fontId="2" fillId="0" borderId="28" xfId="0" applyFont="1" applyBorder="1" applyAlignment="1">
      <alignment horizontal="center" vertical="center" wrapText="1"/>
    </xf>
    <xf numFmtId="0" fontId="2" fillId="0" borderId="29" xfId="0" applyFont="1" applyBorder="1" applyAlignment="1">
      <alignment horizontal="center" vertical="center" wrapText="1"/>
    </xf>
    <xf numFmtId="0" fontId="2" fillId="0" borderId="30" xfId="0" applyFont="1" applyBorder="1" applyAlignment="1">
      <alignment horizontal="center" vertical="center" wrapText="1"/>
    </xf>
    <xf numFmtId="0" fontId="0" fillId="13" borderId="39" xfId="0" applyFill="1" applyBorder="1" applyAlignment="1">
      <alignment horizontal="center" vertical="center"/>
    </xf>
    <xf numFmtId="0" fontId="0" fillId="13" borderId="13" xfId="0" applyFill="1" applyBorder="1" applyAlignment="1">
      <alignment horizontal="center" vertical="center"/>
    </xf>
    <xf numFmtId="0" fontId="0" fillId="12" borderId="39" xfId="0" applyFill="1" applyBorder="1" applyAlignment="1">
      <alignment horizontal="center" vertical="center"/>
    </xf>
    <xf numFmtId="0" fontId="0" fillId="12" borderId="13" xfId="0" applyFill="1" applyBorder="1" applyAlignment="1">
      <alignment horizontal="center" vertical="center"/>
    </xf>
    <xf numFmtId="0" fontId="7" fillId="3" borderId="38" xfId="1" applyFont="1" applyFill="1" applyBorder="1" applyAlignment="1">
      <alignment horizontal="center" vertical="center" wrapText="1"/>
    </xf>
    <xf numFmtId="0" fontId="7" fillId="3" borderId="35" xfId="1" applyFont="1" applyFill="1" applyBorder="1" applyAlignment="1">
      <alignment horizontal="center" vertical="center" wrapText="1"/>
    </xf>
    <xf numFmtId="0" fontId="4" fillId="13" borderId="39" xfId="0" applyFont="1" applyFill="1" applyBorder="1" applyAlignment="1">
      <alignment horizontal="center" vertical="center" wrapText="1"/>
    </xf>
    <xf numFmtId="0" fontId="4" fillId="13" borderId="13" xfId="0" applyFont="1" applyFill="1" applyBorder="1" applyAlignment="1">
      <alignment horizontal="center" vertical="center" wrapText="1"/>
    </xf>
    <xf numFmtId="0" fontId="4" fillId="12" borderId="39" xfId="0" applyFont="1" applyFill="1" applyBorder="1" applyAlignment="1">
      <alignment horizontal="center" vertical="center" wrapText="1"/>
    </xf>
    <xf numFmtId="0" fontId="4" fillId="12" borderId="13" xfId="0" applyFont="1" applyFill="1" applyBorder="1" applyAlignment="1">
      <alignment horizontal="center" vertical="center" wrapText="1"/>
    </xf>
    <xf numFmtId="0" fontId="0" fillId="13" borderId="40" xfId="0" applyFill="1" applyBorder="1" applyAlignment="1">
      <alignment horizontal="center" vertical="center"/>
    </xf>
    <xf numFmtId="0" fontId="0" fillId="13" borderId="36" xfId="0" applyFill="1" applyBorder="1" applyAlignment="1">
      <alignment horizontal="center" vertical="center"/>
    </xf>
    <xf numFmtId="0" fontId="0" fillId="9" borderId="39" xfId="0" applyFill="1" applyBorder="1" applyAlignment="1">
      <alignment horizontal="center" vertical="center"/>
    </xf>
    <xf numFmtId="0" fontId="0" fillId="9" borderId="13" xfId="0" applyFill="1" applyBorder="1" applyAlignment="1">
      <alignment horizontal="center" vertical="center"/>
    </xf>
  </cellXfs>
  <cellStyles count="4">
    <cellStyle name="Hyperlink" xfId="3" builtinId="8"/>
    <cellStyle name="Normal" xfId="0" builtinId="0"/>
    <cellStyle name="Normal_SD_ NEW_1_&amp;_2" xfId="2"/>
    <cellStyle name="Normal_VDF_EAP - KYK_CVDB_CRUD Matrix v1.1" xfId="1"/>
  </cellStyles>
  <dxfs count="2">
    <dxf>
      <font>
        <color theme="0" tint="-0.14996795556505021"/>
      </font>
    </dxf>
    <dxf>
      <font>
        <color theme="0" tint="-0.14996795556505021"/>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581025</xdr:colOff>
      <xdr:row>0</xdr:row>
      <xdr:rowOff>47625</xdr:rowOff>
    </xdr:from>
    <xdr:to>
      <xdr:col>2</xdr:col>
      <xdr:colOff>19383</xdr:colOff>
      <xdr:row>3</xdr:row>
      <xdr:rowOff>381</xdr:rowOff>
    </xdr:to>
    <xdr:pic>
      <xdr:nvPicPr>
        <xdr:cNvPr id="2" name="Picture 9" descr="NEW LOGO"/>
        <xdr:cNvPicPr>
          <a:picLocks noChangeAspect="1" noChangeArrowheads="1"/>
        </xdr:cNvPicPr>
      </xdr:nvPicPr>
      <xdr:blipFill>
        <a:blip xmlns:r="http://schemas.openxmlformats.org/officeDocument/2006/relationships" r:embed="rId1" cstate="print"/>
        <a:srcRect/>
        <a:stretch>
          <a:fillRect/>
        </a:stretch>
      </xdr:blipFill>
      <xdr:spPr bwMode="auto">
        <a:xfrm>
          <a:off x="581025" y="47625"/>
          <a:ext cx="924258" cy="343281"/>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596900</xdr:colOff>
      <xdr:row>0</xdr:row>
      <xdr:rowOff>63500</xdr:rowOff>
    </xdr:from>
    <xdr:to>
      <xdr:col>1</xdr:col>
      <xdr:colOff>921083</xdr:colOff>
      <xdr:row>2</xdr:row>
      <xdr:rowOff>101981</xdr:rowOff>
    </xdr:to>
    <xdr:pic>
      <xdr:nvPicPr>
        <xdr:cNvPr id="2" name="Picture 9" descr="NEW LOGO"/>
        <xdr:cNvPicPr>
          <a:picLocks noChangeAspect="1" noChangeArrowheads="1"/>
        </xdr:cNvPicPr>
      </xdr:nvPicPr>
      <xdr:blipFill>
        <a:blip xmlns:r="http://schemas.openxmlformats.org/officeDocument/2006/relationships" r:embed="rId1" cstate="print"/>
        <a:srcRect/>
        <a:stretch>
          <a:fillRect/>
        </a:stretch>
      </xdr:blipFill>
      <xdr:spPr bwMode="auto">
        <a:xfrm>
          <a:off x="596900" y="63500"/>
          <a:ext cx="924258" cy="349631"/>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596900</xdr:colOff>
      <xdr:row>0</xdr:row>
      <xdr:rowOff>63500</xdr:rowOff>
    </xdr:from>
    <xdr:to>
      <xdr:col>1</xdr:col>
      <xdr:colOff>921083</xdr:colOff>
      <xdr:row>2</xdr:row>
      <xdr:rowOff>101981</xdr:rowOff>
    </xdr:to>
    <xdr:pic>
      <xdr:nvPicPr>
        <xdr:cNvPr id="2" name="Picture 9" descr="NEW LOGO"/>
        <xdr:cNvPicPr>
          <a:picLocks noChangeAspect="1" noChangeArrowheads="1"/>
        </xdr:cNvPicPr>
      </xdr:nvPicPr>
      <xdr:blipFill>
        <a:blip xmlns:r="http://schemas.openxmlformats.org/officeDocument/2006/relationships" r:embed="rId1" cstate="print"/>
        <a:srcRect/>
        <a:stretch>
          <a:fillRect/>
        </a:stretch>
      </xdr:blipFill>
      <xdr:spPr bwMode="auto">
        <a:xfrm>
          <a:off x="387350" y="63500"/>
          <a:ext cx="924258" cy="343281"/>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76200</xdr:rowOff>
    </xdr:from>
    <xdr:to>
      <xdr:col>2</xdr:col>
      <xdr:colOff>352758</xdr:colOff>
      <xdr:row>2</xdr:row>
      <xdr:rowOff>95631</xdr:rowOff>
    </xdr:to>
    <xdr:pic>
      <xdr:nvPicPr>
        <xdr:cNvPr id="2" name="Picture 9" descr="NEW LOGO"/>
        <xdr:cNvPicPr>
          <a:picLocks noChangeAspect="1" noChangeArrowheads="1"/>
        </xdr:cNvPicPr>
      </xdr:nvPicPr>
      <xdr:blipFill>
        <a:blip xmlns:r="http://schemas.openxmlformats.org/officeDocument/2006/relationships" r:embed="rId1" cstate="print"/>
        <a:srcRect/>
        <a:stretch>
          <a:fillRect/>
        </a:stretch>
      </xdr:blipFill>
      <xdr:spPr bwMode="auto">
        <a:xfrm>
          <a:off x="609600" y="76200"/>
          <a:ext cx="924258" cy="343281"/>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andrea.rocco@accenture.com" TargetMode="External"/><Relationship Id="rId5" Type="http://schemas.openxmlformats.org/officeDocument/2006/relationships/control" Target="../activeX/activeX1.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sheetPr codeName="Sheet2"/>
  <dimension ref="A1:J17"/>
  <sheetViews>
    <sheetView showGridLines="0" tabSelected="1" workbookViewId="0">
      <selection activeCell="E10" sqref="E10:F11"/>
    </sheetView>
  </sheetViews>
  <sheetFormatPr defaultRowHeight="12.75"/>
  <cols>
    <col min="1" max="1" width="5.140625" customWidth="1"/>
    <col min="2" max="2" width="13.5703125" bestFit="1" customWidth="1"/>
    <col min="3" max="3" width="38.140625" customWidth="1"/>
    <col min="4" max="4" width="2.140625" customWidth="1"/>
    <col min="5" max="5" width="15.42578125" bestFit="1" customWidth="1"/>
    <col min="8" max="8" width="13.7109375" customWidth="1"/>
    <col min="9" max="9" width="29" bestFit="1" customWidth="1"/>
  </cols>
  <sheetData>
    <row r="1" spans="1:10" ht="10.5" customHeight="1"/>
    <row r="2" spans="1:10" ht="12" customHeight="1"/>
    <row r="3" spans="1:10" ht="8.25" customHeight="1"/>
    <row r="4" spans="1:10" ht="14.25" customHeight="1">
      <c r="B4" s="143" t="s">
        <v>3</v>
      </c>
      <c r="C4" s="143"/>
      <c r="D4" s="143"/>
      <c r="E4" s="143"/>
      <c r="F4" s="143"/>
      <c r="G4" s="15"/>
      <c r="H4" s="143" t="s">
        <v>49</v>
      </c>
      <c r="I4" s="144"/>
      <c r="J4" s="15"/>
    </row>
    <row r="5" spans="1:10" ht="5.25" customHeight="1" thickBot="1">
      <c r="C5" s="9"/>
      <c r="D5" s="10"/>
      <c r="E5" s="10"/>
      <c r="F5" s="10"/>
      <c r="G5" s="10"/>
      <c r="H5" s="12"/>
      <c r="I5" s="10"/>
      <c r="J5" s="9"/>
    </row>
    <row r="6" spans="1:10" ht="15.75" customHeight="1">
      <c r="B6" s="143" t="s">
        <v>36</v>
      </c>
      <c r="C6" s="144"/>
      <c r="E6" s="143" t="s">
        <v>62</v>
      </c>
      <c r="F6" s="143"/>
      <c r="H6" s="56"/>
      <c r="I6" s="57" t="s">
        <v>21</v>
      </c>
      <c r="J6" s="15"/>
    </row>
    <row r="7" spans="1:10" ht="25.5" customHeight="1">
      <c r="B7" s="154" t="s">
        <v>30</v>
      </c>
      <c r="C7" s="154"/>
      <c r="E7" s="154"/>
      <c r="F7" s="154"/>
      <c r="H7" s="58"/>
      <c r="I7" s="59" t="s">
        <v>47</v>
      </c>
      <c r="J7" s="15"/>
    </row>
    <row r="8" spans="1:10" ht="15.75" thickBot="1">
      <c r="A8" s="45"/>
      <c r="B8" s="51" t="s">
        <v>29</v>
      </c>
      <c r="C8" s="51" t="s">
        <v>0</v>
      </c>
      <c r="D8" s="28"/>
      <c r="E8" s="153" t="s">
        <v>0</v>
      </c>
      <c r="F8" s="153"/>
      <c r="G8" s="28"/>
      <c r="H8" s="60"/>
      <c r="I8" s="61" t="s">
        <v>48</v>
      </c>
      <c r="J8" s="13"/>
    </row>
    <row r="9" spans="1:10" ht="5.25" customHeight="1">
      <c r="A9" s="45"/>
      <c r="B9" s="149" t="s">
        <v>26</v>
      </c>
      <c r="C9" s="151" t="s">
        <v>40</v>
      </c>
      <c r="D9" s="28"/>
      <c r="E9" s="28"/>
      <c r="F9" s="28"/>
      <c r="G9" s="28"/>
      <c r="H9" s="54"/>
      <c r="I9" s="55"/>
      <c r="J9" s="13"/>
    </row>
    <row r="10" spans="1:10" ht="30" customHeight="1">
      <c r="B10" s="150"/>
      <c r="C10" s="152"/>
      <c r="D10" s="10"/>
      <c r="E10" s="155" t="s">
        <v>63</v>
      </c>
      <c r="F10" s="155"/>
      <c r="G10" s="10"/>
      <c r="H10" s="143" t="s">
        <v>37</v>
      </c>
      <c r="I10" s="144"/>
      <c r="J10" s="11"/>
    </row>
    <row r="11" spans="1:10" ht="65.25" customHeight="1">
      <c r="B11" s="52" t="s">
        <v>31</v>
      </c>
      <c r="C11" s="16" t="s">
        <v>41</v>
      </c>
      <c r="D11" s="10"/>
      <c r="E11" s="155"/>
      <c r="F11" s="155"/>
      <c r="G11" s="10"/>
      <c r="H11" s="145" t="s">
        <v>50</v>
      </c>
      <c r="I11" s="146"/>
      <c r="J11" s="11"/>
    </row>
    <row r="12" spans="1:10" ht="87" customHeight="1">
      <c r="B12" s="52" t="s">
        <v>32</v>
      </c>
      <c r="C12" s="17" t="s">
        <v>45</v>
      </c>
      <c r="D12" s="9"/>
      <c r="E12" s="9"/>
      <c r="F12" s="9"/>
      <c r="G12" s="9"/>
      <c r="H12" s="147"/>
      <c r="I12" s="148"/>
      <c r="J12" s="9"/>
    </row>
    <row r="13" spans="1:10" ht="27" customHeight="1">
      <c r="B13" s="52" t="s">
        <v>33</v>
      </c>
      <c r="C13" s="18" t="s">
        <v>42</v>
      </c>
      <c r="H13" s="53"/>
      <c r="I13" s="53"/>
    </row>
    <row r="14" spans="1:10" ht="27" customHeight="1">
      <c r="B14" s="52" t="s">
        <v>34</v>
      </c>
      <c r="C14" s="18" t="s">
        <v>43</v>
      </c>
      <c r="H14" s="9"/>
    </row>
    <row r="15" spans="1:10" ht="24">
      <c r="B15" s="52" t="s">
        <v>35</v>
      </c>
      <c r="C15" s="26" t="s">
        <v>44</v>
      </c>
      <c r="H15" s="141"/>
    </row>
    <row r="16" spans="1:10" ht="2.25" customHeight="1">
      <c r="B16" s="10"/>
      <c r="C16" s="14"/>
      <c r="H16" s="142"/>
    </row>
    <row r="17" spans="2:8" ht="12.75" customHeight="1">
      <c r="B17" s="50" t="s">
        <v>27</v>
      </c>
      <c r="C17" s="49" t="s">
        <v>28</v>
      </c>
      <c r="H17" s="142"/>
    </row>
  </sheetData>
  <mergeCells count="13">
    <mergeCell ref="H15:H17"/>
    <mergeCell ref="H4:I4"/>
    <mergeCell ref="H10:I10"/>
    <mergeCell ref="H11:I12"/>
    <mergeCell ref="B9:B10"/>
    <mergeCell ref="C9:C10"/>
    <mergeCell ref="E8:F8"/>
    <mergeCell ref="E7:F7"/>
    <mergeCell ref="E10:F11"/>
    <mergeCell ref="E6:F6"/>
    <mergeCell ref="B4:F4"/>
    <mergeCell ref="B6:C6"/>
    <mergeCell ref="B7:C7"/>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sheetPr codeName="Sheet3"/>
  <dimension ref="A1:J72"/>
  <sheetViews>
    <sheetView showGridLines="0" workbookViewId="0">
      <selection activeCell="B12" sqref="B12:I12"/>
    </sheetView>
  </sheetViews>
  <sheetFormatPr defaultRowHeight="12.75" outlineLevelRow="1"/>
  <cols>
    <col min="1" max="1" width="5.85546875" style="2" customWidth="1"/>
    <col min="2" max="2" width="18.5703125" style="2" bestFit="1" customWidth="1"/>
    <col min="3" max="3" width="9" style="2" bestFit="1" customWidth="1"/>
    <col min="4" max="4" width="20.5703125" style="2" bestFit="1" customWidth="1"/>
    <col min="5" max="5" width="12.7109375" style="2" customWidth="1"/>
    <col min="6" max="6" width="14.140625" style="2" bestFit="1" customWidth="1"/>
    <col min="7" max="7" width="21" style="2" bestFit="1" customWidth="1"/>
    <col min="8" max="8" width="10.5703125" style="2" customWidth="1"/>
    <col min="9" max="9" width="33.5703125" style="2" customWidth="1"/>
    <col min="10" max="16384" width="9.140625" style="2"/>
  </cols>
  <sheetData>
    <row r="1" spans="2:10" ht="12" customHeight="1"/>
    <row r="2" spans="2:10" ht="12" customHeight="1">
      <c r="C2" s="27"/>
    </row>
    <row r="3" spans="2:10" ht="12" customHeight="1" thickBot="1"/>
    <row r="4" spans="2:10" ht="21.75" customHeight="1" thickBot="1">
      <c r="B4" s="19" t="s">
        <v>4</v>
      </c>
      <c r="C4" s="20" t="s">
        <v>1</v>
      </c>
      <c r="D4" s="20" t="s">
        <v>46</v>
      </c>
      <c r="E4" s="20" t="s">
        <v>2</v>
      </c>
      <c r="F4" s="20" t="s">
        <v>75</v>
      </c>
      <c r="G4" s="20" t="s">
        <v>14</v>
      </c>
      <c r="H4" s="31" t="s">
        <v>13</v>
      </c>
      <c r="I4" s="21" t="s">
        <v>0</v>
      </c>
    </row>
    <row r="5" spans="2:10" ht="23.25" customHeight="1" outlineLevel="1" thickBot="1">
      <c r="B5" s="39"/>
      <c r="C5" s="40"/>
      <c r="D5" s="40"/>
      <c r="E5" s="41"/>
      <c r="F5" s="42"/>
      <c r="G5" s="43"/>
      <c r="H5" s="46"/>
      <c r="I5" s="44"/>
      <c r="J5" s="30"/>
    </row>
    <row r="6" spans="2:10" s="32" customFormat="1" ht="4.5" customHeight="1" outlineLevel="1" thickBot="1">
      <c r="B6" s="33"/>
      <c r="C6" s="33"/>
      <c r="D6" s="33"/>
      <c r="E6" s="34"/>
      <c r="F6" s="35"/>
      <c r="G6" s="36"/>
      <c r="H6" s="37"/>
      <c r="I6" s="33"/>
      <c r="J6" s="38"/>
    </row>
    <row r="7" spans="2:10" ht="23.25" customHeight="1" outlineLevel="1">
      <c r="B7" s="197" t="s">
        <v>5</v>
      </c>
      <c r="C7" s="198"/>
      <c r="D7" s="199" t="str">
        <f>CONCATENATE(B5,".",C5,".",D5,".",TEXT(E5,"F##.00"),".",TEXT(F5,"D##.00"),".",TEXT(G5,"""BG""#.#00"),".",H5)</f>
        <v>...F00.D00.BG00.</v>
      </c>
      <c r="E7" s="199"/>
      <c r="F7" s="199"/>
      <c r="G7" s="199"/>
      <c r="H7" s="199"/>
      <c r="I7" s="200"/>
      <c r="J7" s="29"/>
    </row>
    <row r="8" spans="2:10" ht="23.25" customHeight="1" outlineLevel="1" thickBot="1">
      <c r="B8" s="201" t="s">
        <v>25</v>
      </c>
      <c r="C8" s="202"/>
      <c r="D8" s="203" t="str">
        <f>CONCATENATE(B5,".",C5,".",D5,".",TEXT(E5,"F##.00"),".",TEXT(F5,"D##.00"),".",TEXT(G5,"""BG""#.#00"),".","docx")</f>
        <v>...F00.D00.BG00.docx</v>
      </c>
      <c r="E8" s="204"/>
      <c r="F8" s="204"/>
      <c r="G8" s="204"/>
      <c r="H8" s="204"/>
      <c r="I8" s="205"/>
      <c r="J8" s="29"/>
    </row>
    <row r="9" spans="2:10" ht="15.95" customHeight="1" thickBot="1">
      <c r="B9" s="1"/>
      <c r="C9" s="1"/>
      <c r="D9" s="1"/>
      <c r="E9" s="1"/>
      <c r="F9" s="1"/>
      <c r="G9" s="1"/>
      <c r="H9" s="1"/>
      <c r="I9" s="1"/>
    </row>
    <row r="10" spans="2:10" ht="16.5" customHeight="1" thickBot="1">
      <c r="B10" s="191" t="s">
        <v>6</v>
      </c>
      <c r="C10" s="192"/>
      <c r="D10" s="192"/>
      <c r="E10" s="192"/>
      <c r="F10" s="192"/>
      <c r="G10" s="192"/>
      <c r="H10" s="192"/>
      <c r="I10" s="193"/>
    </row>
    <row r="11" spans="2:10" s="47" customFormat="1" ht="12" customHeight="1" thickBot="1">
      <c r="B11" s="174" t="s">
        <v>16</v>
      </c>
      <c r="C11" s="175"/>
      <c r="D11" s="175"/>
      <c r="E11" s="175"/>
      <c r="F11" s="175"/>
      <c r="G11" s="175"/>
      <c r="H11" s="175"/>
      <c r="I11" s="176"/>
    </row>
    <row r="12" spans="2:10" outlineLevel="1">
      <c r="B12" s="185"/>
      <c r="C12" s="186"/>
      <c r="D12" s="186"/>
      <c r="E12" s="186"/>
      <c r="F12" s="186"/>
      <c r="G12" s="186"/>
      <c r="H12" s="186"/>
      <c r="I12" s="187"/>
    </row>
    <row r="13" spans="2:10" outlineLevel="1">
      <c r="B13" s="194"/>
      <c r="C13" s="195"/>
      <c r="D13" s="195"/>
      <c r="E13" s="195"/>
      <c r="F13" s="195"/>
      <c r="G13" s="195"/>
      <c r="H13" s="195"/>
      <c r="I13" s="196"/>
    </row>
    <row r="14" spans="2:10" ht="13.5" outlineLevel="1" thickBot="1">
      <c r="B14" s="188"/>
      <c r="C14" s="189"/>
      <c r="D14" s="189"/>
      <c r="E14" s="189"/>
      <c r="F14" s="189"/>
      <c r="G14" s="189"/>
      <c r="H14" s="189"/>
      <c r="I14" s="190"/>
    </row>
    <row r="15" spans="2:10" ht="15.95" customHeight="1" thickBot="1">
      <c r="B15" s="22"/>
      <c r="C15" s="22"/>
      <c r="D15" s="22"/>
      <c r="E15" s="22"/>
      <c r="F15" s="22"/>
      <c r="G15" s="22"/>
      <c r="H15" s="22"/>
      <c r="I15" s="22"/>
    </row>
    <row r="16" spans="2:10" ht="15.75" thickBot="1">
      <c r="B16" s="191" t="s">
        <v>7</v>
      </c>
      <c r="C16" s="192"/>
      <c r="D16" s="192"/>
      <c r="E16" s="192"/>
      <c r="F16" s="192"/>
      <c r="G16" s="192"/>
      <c r="H16" s="192"/>
      <c r="I16" s="193"/>
    </row>
    <row r="17" spans="2:9" s="47" customFormat="1" ht="12" customHeight="1" thickBot="1">
      <c r="B17" s="174" t="s">
        <v>15</v>
      </c>
      <c r="C17" s="175"/>
      <c r="D17" s="175"/>
      <c r="E17" s="175"/>
      <c r="F17" s="175"/>
      <c r="G17" s="175"/>
      <c r="H17" s="175"/>
      <c r="I17" s="176"/>
    </row>
    <row r="18" spans="2:9" ht="12.75" customHeight="1" outlineLevel="1">
      <c r="B18" s="206"/>
      <c r="C18" s="207"/>
      <c r="D18" s="207"/>
      <c r="E18" s="207"/>
      <c r="F18" s="207"/>
      <c r="G18" s="207"/>
      <c r="H18" s="207"/>
      <c r="I18" s="208"/>
    </row>
    <row r="19" spans="2:9" outlineLevel="1">
      <c r="B19" s="209"/>
      <c r="C19" s="210"/>
      <c r="D19" s="210"/>
      <c r="E19" s="210"/>
      <c r="F19" s="210"/>
      <c r="G19" s="210"/>
      <c r="H19" s="210"/>
      <c r="I19" s="211"/>
    </row>
    <row r="20" spans="2:9" outlineLevel="1">
      <c r="B20" s="209"/>
      <c r="C20" s="210"/>
      <c r="D20" s="210"/>
      <c r="E20" s="210"/>
      <c r="F20" s="210"/>
      <c r="G20" s="210"/>
      <c r="H20" s="210"/>
      <c r="I20" s="211"/>
    </row>
    <row r="21" spans="2:9" ht="13.5" outlineLevel="1" thickBot="1">
      <c r="B21" s="212"/>
      <c r="C21" s="213"/>
      <c r="D21" s="213"/>
      <c r="E21" s="213"/>
      <c r="F21" s="213"/>
      <c r="G21" s="213"/>
      <c r="H21" s="213"/>
      <c r="I21" s="214"/>
    </row>
    <row r="22" spans="2:9" ht="15.95" customHeight="1" thickBot="1">
      <c r="B22" s="5"/>
      <c r="C22" s="5"/>
      <c r="D22" s="5"/>
      <c r="E22" s="5"/>
      <c r="F22" s="5"/>
      <c r="G22" s="5"/>
      <c r="H22" s="6"/>
      <c r="I22" s="5"/>
    </row>
    <row r="23" spans="2:9" ht="15.75" thickBot="1">
      <c r="B23" s="191" t="s">
        <v>8</v>
      </c>
      <c r="C23" s="192"/>
      <c r="D23" s="192"/>
      <c r="E23" s="192"/>
      <c r="F23" s="192"/>
      <c r="G23" s="192"/>
      <c r="H23" s="192"/>
      <c r="I23" s="193"/>
    </row>
    <row r="24" spans="2:9" s="47" customFormat="1" ht="12" customHeight="1" thickBot="1">
      <c r="B24" s="174" t="s">
        <v>17</v>
      </c>
      <c r="C24" s="175"/>
      <c r="D24" s="175"/>
      <c r="E24" s="175"/>
      <c r="F24" s="175"/>
      <c r="G24" s="175"/>
      <c r="H24" s="175"/>
      <c r="I24" s="176"/>
    </row>
    <row r="25" spans="2:9" ht="12.75" customHeight="1" outlineLevel="1">
      <c r="B25" s="185"/>
      <c r="C25" s="186"/>
      <c r="D25" s="186"/>
      <c r="E25" s="186"/>
      <c r="F25" s="186"/>
      <c r="G25" s="186"/>
      <c r="H25" s="186"/>
      <c r="I25" s="187"/>
    </row>
    <row r="26" spans="2:9" ht="13.5" outlineLevel="1" thickBot="1">
      <c r="B26" s="188"/>
      <c r="C26" s="189"/>
      <c r="D26" s="189"/>
      <c r="E26" s="189"/>
      <c r="F26" s="189"/>
      <c r="G26" s="189"/>
      <c r="H26" s="189"/>
      <c r="I26" s="190"/>
    </row>
    <row r="27" spans="2:9" ht="15.95" customHeight="1" thickBot="1">
      <c r="B27" s="22"/>
      <c r="C27" s="22"/>
      <c r="D27" s="22"/>
      <c r="E27" s="22"/>
      <c r="F27" s="22"/>
      <c r="G27" s="22"/>
      <c r="H27" s="22"/>
      <c r="I27" s="22"/>
    </row>
    <row r="28" spans="2:9" ht="20.25" customHeight="1" thickBot="1">
      <c r="B28" s="161" t="s">
        <v>12</v>
      </c>
      <c r="C28" s="162"/>
      <c r="D28" s="162"/>
      <c r="E28" s="162"/>
      <c r="F28" s="162"/>
      <c r="G28" s="162"/>
      <c r="H28" s="162"/>
      <c r="I28" s="163"/>
    </row>
    <row r="29" spans="2:9" s="47" customFormat="1" ht="12" customHeight="1" thickBot="1">
      <c r="B29" s="172" t="s">
        <v>18</v>
      </c>
      <c r="C29" s="173"/>
      <c r="D29" s="173"/>
      <c r="E29" s="173"/>
      <c r="F29" s="173"/>
      <c r="G29" s="173" t="s">
        <v>21</v>
      </c>
      <c r="H29" s="173"/>
      <c r="I29" s="48" t="s">
        <v>19</v>
      </c>
    </row>
    <row r="30" spans="2:9" outlineLevel="1">
      <c r="B30" s="177"/>
      <c r="C30" s="178"/>
      <c r="D30" s="178"/>
      <c r="E30" s="178"/>
      <c r="F30" s="179"/>
      <c r="G30" s="164"/>
      <c r="H30" s="165"/>
      <c r="I30" s="66" t="str">
        <f>IF(EXACT(G30,"YES"),"P","O")</f>
        <v>O</v>
      </c>
    </row>
    <row r="31" spans="2:9" outlineLevel="1">
      <c r="B31" s="180"/>
      <c r="C31" s="181"/>
      <c r="D31" s="181"/>
      <c r="E31" s="181"/>
      <c r="F31" s="182"/>
      <c r="G31" s="170"/>
      <c r="H31" s="171"/>
      <c r="I31" s="67" t="str">
        <f>IF(EXACT(G31,"YES"),"P","O")</f>
        <v>O</v>
      </c>
    </row>
    <row r="32" spans="2:9" outlineLevel="1">
      <c r="B32" s="180"/>
      <c r="C32" s="181"/>
      <c r="D32" s="181"/>
      <c r="E32" s="181"/>
      <c r="F32" s="182"/>
      <c r="G32" s="170"/>
      <c r="H32" s="171"/>
      <c r="I32" s="67" t="str">
        <f t="shared" ref="I32:I34" si="0">IF(EXACT(G32,"YES"),"P","O")</f>
        <v>O</v>
      </c>
    </row>
    <row r="33" spans="1:9" outlineLevel="1">
      <c r="B33" s="180"/>
      <c r="C33" s="181"/>
      <c r="D33" s="181"/>
      <c r="E33" s="181"/>
      <c r="F33" s="182"/>
      <c r="G33" s="170"/>
      <c r="H33" s="171"/>
      <c r="I33" s="67" t="str">
        <f t="shared" si="0"/>
        <v>O</v>
      </c>
    </row>
    <row r="34" spans="1:9" ht="13.5" outlineLevel="1" thickBot="1">
      <c r="B34" s="156"/>
      <c r="C34" s="157"/>
      <c r="D34" s="157"/>
      <c r="E34" s="157"/>
      <c r="F34" s="158"/>
      <c r="G34" s="166"/>
      <c r="H34" s="167"/>
      <c r="I34" s="68" t="str">
        <f t="shared" si="0"/>
        <v>O</v>
      </c>
    </row>
    <row r="35" spans="1:9" ht="15.95" customHeight="1" thickBot="1">
      <c r="B35" s="23"/>
      <c r="C35" s="24"/>
      <c r="D35" s="24"/>
      <c r="E35" s="24"/>
      <c r="F35" s="24"/>
      <c r="G35" s="24"/>
      <c r="H35" s="24"/>
      <c r="I35" s="25"/>
    </row>
    <row r="36" spans="1:9" ht="15.75" thickBot="1">
      <c r="B36" s="191" t="s">
        <v>9</v>
      </c>
      <c r="C36" s="192"/>
      <c r="D36" s="192"/>
      <c r="E36" s="192"/>
      <c r="F36" s="192"/>
      <c r="G36" s="192"/>
      <c r="H36" s="192"/>
      <c r="I36" s="193"/>
    </row>
    <row r="37" spans="1:9" s="47" customFormat="1" ht="12" customHeight="1" thickBot="1">
      <c r="B37" s="174" t="s">
        <v>20</v>
      </c>
      <c r="C37" s="175"/>
      <c r="D37" s="175"/>
      <c r="E37" s="175"/>
      <c r="F37" s="175"/>
      <c r="G37" s="175"/>
      <c r="H37" s="175"/>
      <c r="I37" s="176"/>
    </row>
    <row r="38" spans="1:9" outlineLevel="1">
      <c r="B38" s="185"/>
      <c r="C38" s="186"/>
      <c r="D38" s="186"/>
      <c r="E38" s="186"/>
      <c r="F38" s="186"/>
      <c r="G38" s="186"/>
      <c r="H38" s="186"/>
      <c r="I38" s="187"/>
    </row>
    <row r="39" spans="1:9" outlineLevel="1">
      <c r="B39" s="194"/>
      <c r="C39" s="195"/>
      <c r="D39" s="195"/>
      <c r="E39" s="195"/>
      <c r="F39" s="195"/>
      <c r="G39" s="195"/>
      <c r="H39" s="195"/>
      <c r="I39" s="196"/>
    </row>
    <row r="40" spans="1:9" outlineLevel="1">
      <c r="B40" s="194"/>
      <c r="C40" s="195"/>
      <c r="D40" s="195"/>
      <c r="E40" s="195"/>
      <c r="F40" s="195"/>
      <c r="G40" s="195"/>
      <c r="H40" s="195"/>
      <c r="I40" s="196"/>
    </row>
    <row r="41" spans="1:9" outlineLevel="1">
      <c r="B41" s="194"/>
      <c r="C41" s="195"/>
      <c r="D41" s="195"/>
      <c r="E41" s="195"/>
      <c r="F41" s="195"/>
      <c r="G41" s="195"/>
      <c r="H41" s="195"/>
      <c r="I41" s="196"/>
    </row>
    <row r="42" spans="1:9" ht="13.5" outlineLevel="1" thickBot="1">
      <c r="B42" s="188"/>
      <c r="C42" s="189"/>
      <c r="D42" s="189"/>
      <c r="E42" s="189"/>
      <c r="F42" s="189"/>
      <c r="G42" s="189"/>
      <c r="H42" s="189"/>
      <c r="I42" s="190"/>
    </row>
    <row r="43" spans="1:9" ht="15.95" customHeight="1" thickBot="1">
      <c r="B43" s="22"/>
      <c r="C43" s="22"/>
      <c r="D43" s="22"/>
      <c r="E43" s="22"/>
      <c r="F43" s="22"/>
      <c r="G43" s="22"/>
      <c r="H43" s="22"/>
      <c r="I43" s="22"/>
    </row>
    <row r="44" spans="1:9" ht="20.25" customHeight="1" thickBot="1">
      <c r="A44" s="7"/>
      <c r="B44" s="161" t="s">
        <v>10</v>
      </c>
      <c r="C44" s="162"/>
      <c r="D44" s="162"/>
      <c r="E44" s="162"/>
      <c r="F44" s="162"/>
      <c r="G44" s="162"/>
      <c r="H44" s="162"/>
      <c r="I44" s="163"/>
    </row>
    <row r="45" spans="1:9" s="47" customFormat="1" ht="12" customHeight="1" thickBot="1">
      <c r="B45" s="172" t="s">
        <v>22</v>
      </c>
      <c r="C45" s="173"/>
      <c r="D45" s="173"/>
      <c r="E45" s="173"/>
      <c r="F45" s="173"/>
      <c r="G45" s="173" t="s">
        <v>21</v>
      </c>
      <c r="H45" s="173"/>
      <c r="I45" s="48" t="s">
        <v>19</v>
      </c>
    </row>
    <row r="46" spans="1:9" ht="15" outlineLevel="1">
      <c r="A46" s="7"/>
      <c r="B46" s="177"/>
      <c r="C46" s="178"/>
      <c r="D46" s="178"/>
      <c r="E46" s="178"/>
      <c r="F46" s="179"/>
      <c r="G46" s="164"/>
      <c r="H46" s="165"/>
      <c r="I46" s="69" t="str">
        <f>IF(EXACT(G46,"YES"),"P","O")</f>
        <v>O</v>
      </c>
    </row>
    <row r="47" spans="1:9" ht="13.5" outlineLevel="1" thickBot="1">
      <c r="A47" s="8"/>
      <c r="B47" s="156"/>
      <c r="C47" s="157"/>
      <c r="D47" s="157"/>
      <c r="E47" s="157"/>
      <c r="F47" s="158"/>
      <c r="G47" s="166"/>
      <c r="H47" s="167"/>
      <c r="I47" s="70" t="str">
        <f>IF(EXACT(G47,"YES"),"P","O")</f>
        <v>O</v>
      </c>
    </row>
    <row r="48" spans="1:9" ht="15.95" customHeight="1" thickBot="1">
      <c r="B48" s="23"/>
      <c r="C48" s="24"/>
      <c r="D48" s="24"/>
      <c r="E48" s="24"/>
      <c r="F48" s="24"/>
      <c r="G48" s="24"/>
      <c r="H48" s="24"/>
      <c r="I48" s="25"/>
    </row>
    <row r="49" spans="2:9" ht="18" customHeight="1" thickBot="1">
      <c r="B49" s="161" t="s">
        <v>11</v>
      </c>
      <c r="C49" s="162"/>
      <c r="D49" s="162"/>
      <c r="E49" s="162"/>
      <c r="F49" s="162"/>
      <c r="G49" s="162"/>
      <c r="H49" s="162"/>
      <c r="I49" s="163"/>
    </row>
    <row r="50" spans="2:9" s="47" customFormat="1" ht="12" customHeight="1" thickBot="1">
      <c r="B50" s="174" t="s">
        <v>18</v>
      </c>
      <c r="C50" s="175"/>
      <c r="D50" s="175"/>
      <c r="E50" s="175"/>
      <c r="F50" s="175"/>
      <c r="G50" s="173" t="s">
        <v>21</v>
      </c>
      <c r="H50" s="173"/>
      <c r="I50" s="48" t="s">
        <v>19</v>
      </c>
    </row>
    <row r="51" spans="2:9" outlineLevel="1">
      <c r="B51" s="218"/>
      <c r="C51" s="219"/>
      <c r="D51" s="219"/>
      <c r="E51" s="219"/>
      <c r="F51" s="219"/>
      <c r="G51" s="168"/>
      <c r="H51" s="169"/>
      <c r="I51" s="71" t="str">
        <f>IF(EXACT(G51,"YES"),"P","O")</f>
        <v>O</v>
      </c>
    </row>
    <row r="52" spans="2:9" outlineLevel="1">
      <c r="B52" s="159"/>
      <c r="C52" s="160"/>
      <c r="D52" s="160"/>
      <c r="E52" s="160"/>
      <c r="F52" s="160"/>
      <c r="G52" s="170"/>
      <c r="H52" s="171"/>
      <c r="I52" s="72" t="str">
        <f>IF(EXACT(G52,"YES"),"P","O")</f>
        <v>O</v>
      </c>
    </row>
    <row r="53" spans="2:9" outlineLevel="1">
      <c r="B53" s="159"/>
      <c r="C53" s="160"/>
      <c r="D53" s="160"/>
      <c r="E53" s="160"/>
      <c r="F53" s="160"/>
      <c r="G53" s="170"/>
      <c r="H53" s="171"/>
      <c r="I53" s="72" t="str">
        <f>IF(EXACT(G53,"YES"),"P","O")</f>
        <v>O</v>
      </c>
    </row>
    <row r="54" spans="2:9" outlineLevel="1">
      <c r="B54" s="159"/>
      <c r="C54" s="160"/>
      <c r="D54" s="160"/>
      <c r="E54" s="160"/>
      <c r="F54" s="160"/>
      <c r="G54" s="170"/>
      <c r="H54" s="171"/>
      <c r="I54" s="72" t="str">
        <f>IF(EXACT(G54,"YES"),"P","O")</f>
        <v>O</v>
      </c>
    </row>
    <row r="55" spans="2:9" ht="13.5" outlineLevel="1" thickBot="1">
      <c r="B55" s="183"/>
      <c r="C55" s="184"/>
      <c r="D55" s="184"/>
      <c r="E55" s="184"/>
      <c r="F55" s="184"/>
      <c r="G55" s="166"/>
      <c r="H55" s="167"/>
      <c r="I55" s="70" t="str">
        <f>IF(EXACT(G55,"YES"),"P","O")</f>
        <v>O</v>
      </c>
    </row>
    <row r="56" spans="2:9" ht="15.95" customHeight="1" thickBot="1">
      <c r="B56" s="23"/>
      <c r="C56" s="24"/>
      <c r="D56" s="24"/>
      <c r="E56" s="24"/>
      <c r="F56" s="24"/>
      <c r="G56" s="24"/>
      <c r="H56" s="24"/>
      <c r="I56" s="25"/>
    </row>
    <row r="57" spans="2:9" ht="18" customHeight="1" thickBot="1">
      <c r="B57" s="191" t="s">
        <v>23</v>
      </c>
      <c r="C57" s="192"/>
      <c r="D57" s="192"/>
      <c r="E57" s="192"/>
      <c r="F57" s="192"/>
      <c r="G57" s="192"/>
      <c r="H57" s="192"/>
      <c r="I57" s="193"/>
    </row>
    <row r="58" spans="2:9" s="47" customFormat="1" ht="12" customHeight="1" thickBot="1">
      <c r="B58" s="174" t="s">
        <v>24</v>
      </c>
      <c r="C58" s="175"/>
      <c r="D58" s="175"/>
      <c r="E58" s="175"/>
      <c r="F58" s="175"/>
      <c r="G58" s="175"/>
      <c r="H58" s="175"/>
      <c r="I58" s="176"/>
    </row>
    <row r="59" spans="2:9" outlineLevel="1">
      <c r="B59" s="185"/>
      <c r="C59" s="186"/>
      <c r="D59" s="186"/>
      <c r="E59" s="186"/>
      <c r="F59" s="186"/>
      <c r="G59" s="186"/>
      <c r="H59" s="186"/>
      <c r="I59" s="187"/>
    </row>
    <row r="60" spans="2:9" outlineLevel="1">
      <c r="B60" s="194"/>
      <c r="C60" s="195"/>
      <c r="D60" s="195"/>
      <c r="E60" s="195"/>
      <c r="F60" s="195"/>
      <c r="G60" s="195"/>
      <c r="H60" s="195"/>
      <c r="I60" s="196"/>
    </row>
    <row r="61" spans="2:9" outlineLevel="1">
      <c r="B61" s="194"/>
      <c r="C61" s="195"/>
      <c r="D61" s="195"/>
      <c r="E61" s="195"/>
      <c r="F61" s="195"/>
      <c r="G61" s="195"/>
      <c r="H61" s="195"/>
      <c r="I61" s="196"/>
    </row>
    <row r="62" spans="2:9" outlineLevel="1">
      <c r="B62" s="194"/>
      <c r="C62" s="195"/>
      <c r="D62" s="195"/>
      <c r="E62" s="195"/>
      <c r="F62" s="195"/>
      <c r="G62" s="195"/>
      <c r="H62" s="195"/>
      <c r="I62" s="196"/>
    </row>
    <row r="63" spans="2:9" ht="13.5" outlineLevel="1" thickBot="1">
      <c r="B63" s="188"/>
      <c r="C63" s="189"/>
      <c r="D63" s="189"/>
      <c r="E63" s="189"/>
      <c r="F63" s="189"/>
      <c r="G63" s="189"/>
      <c r="H63" s="189"/>
      <c r="I63" s="190"/>
    </row>
    <row r="64" spans="2:9" ht="15.95" customHeight="1" thickBot="1">
      <c r="B64" s="3"/>
    </row>
    <row r="65" spans="2:9" ht="18" customHeight="1" thickBot="1">
      <c r="B65" s="215" t="s">
        <v>39</v>
      </c>
      <c r="C65" s="216"/>
      <c r="D65" s="216"/>
      <c r="E65" s="216"/>
      <c r="F65" s="216"/>
      <c r="G65" s="216"/>
      <c r="H65" s="216"/>
      <c r="I65" s="217"/>
    </row>
    <row r="66" spans="2:9" s="47" customFormat="1" ht="12" customHeight="1" thickBot="1">
      <c r="B66" s="174" t="s">
        <v>38</v>
      </c>
      <c r="C66" s="175"/>
      <c r="D66" s="175"/>
      <c r="E66" s="175"/>
      <c r="F66" s="175"/>
      <c r="G66" s="175"/>
      <c r="H66" s="175"/>
      <c r="I66" s="176"/>
    </row>
    <row r="67" spans="2:9" outlineLevel="1">
      <c r="B67" s="185"/>
      <c r="C67" s="186"/>
      <c r="D67" s="186"/>
      <c r="E67" s="186"/>
      <c r="F67" s="186"/>
      <c r="G67" s="186"/>
      <c r="H67" s="186"/>
      <c r="I67" s="187"/>
    </row>
    <row r="68" spans="2:9" outlineLevel="1">
      <c r="B68" s="194"/>
      <c r="C68" s="195"/>
      <c r="D68" s="195"/>
      <c r="E68" s="195"/>
      <c r="F68" s="195"/>
      <c r="G68" s="195"/>
      <c r="H68" s="195"/>
      <c r="I68" s="196"/>
    </row>
    <row r="69" spans="2:9" outlineLevel="1">
      <c r="B69" s="194"/>
      <c r="C69" s="195"/>
      <c r="D69" s="195"/>
      <c r="E69" s="195"/>
      <c r="F69" s="195"/>
      <c r="G69" s="195"/>
      <c r="H69" s="195"/>
      <c r="I69" s="196"/>
    </row>
    <row r="70" spans="2:9" outlineLevel="1">
      <c r="B70" s="194"/>
      <c r="C70" s="195"/>
      <c r="D70" s="195"/>
      <c r="E70" s="195"/>
      <c r="F70" s="195"/>
      <c r="G70" s="195"/>
      <c r="H70" s="195"/>
      <c r="I70" s="196"/>
    </row>
    <row r="71" spans="2:9" ht="13.5" outlineLevel="1" thickBot="1">
      <c r="B71" s="188"/>
      <c r="C71" s="189"/>
      <c r="D71" s="189"/>
      <c r="E71" s="189"/>
      <c r="F71" s="189"/>
      <c r="G71" s="189"/>
      <c r="H71" s="189"/>
      <c r="I71" s="190"/>
    </row>
    <row r="72" spans="2:9" ht="15.75">
      <c r="B72" s="4"/>
    </row>
  </sheetData>
  <dataConsolidate/>
  <mergeCells count="70">
    <mergeCell ref="B67:I67"/>
    <mergeCell ref="B68:I68"/>
    <mergeCell ref="B69:I69"/>
    <mergeCell ref="B70:I70"/>
    <mergeCell ref="B71:I71"/>
    <mergeCell ref="B57:I57"/>
    <mergeCell ref="B34:F34"/>
    <mergeCell ref="B65:I65"/>
    <mergeCell ref="B66:I66"/>
    <mergeCell ref="B50:F50"/>
    <mergeCell ref="G50:H50"/>
    <mergeCell ref="G53:H53"/>
    <mergeCell ref="G54:H54"/>
    <mergeCell ref="G55:H55"/>
    <mergeCell ref="B63:I63"/>
    <mergeCell ref="B62:I62"/>
    <mergeCell ref="B59:I59"/>
    <mergeCell ref="B60:I60"/>
    <mergeCell ref="B51:F51"/>
    <mergeCell ref="B61:I61"/>
    <mergeCell ref="B41:I41"/>
    <mergeCell ref="B7:C7"/>
    <mergeCell ref="D7:I7"/>
    <mergeCell ref="B26:I26"/>
    <mergeCell ref="B13:I13"/>
    <mergeCell ref="B12:I12"/>
    <mergeCell ref="B14:I14"/>
    <mergeCell ref="B10:I10"/>
    <mergeCell ref="B16:I16"/>
    <mergeCell ref="B25:I25"/>
    <mergeCell ref="B8:C8"/>
    <mergeCell ref="D8:I8"/>
    <mergeCell ref="B11:I11"/>
    <mergeCell ref="B17:I17"/>
    <mergeCell ref="B24:I24"/>
    <mergeCell ref="B18:I21"/>
    <mergeCell ref="B42:I42"/>
    <mergeCell ref="B23:I23"/>
    <mergeCell ref="B36:I36"/>
    <mergeCell ref="G33:H33"/>
    <mergeCell ref="G34:H34"/>
    <mergeCell ref="B37:I37"/>
    <mergeCell ref="B39:I39"/>
    <mergeCell ref="B40:I40"/>
    <mergeCell ref="B58:I58"/>
    <mergeCell ref="B28:I28"/>
    <mergeCell ref="B30:F30"/>
    <mergeCell ref="B31:F31"/>
    <mergeCell ref="B32:F32"/>
    <mergeCell ref="G31:H31"/>
    <mergeCell ref="G32:H32"/>
    <mergeCell ref="B29:F29"/>
    <mergeCell ref="G29:H29"/>
    <mergeCell ref="G30:H30"/>
    <mergeCell ref="B33:F33"/>
    <mergeCell ref="B54:F54"/>
    <mergeCell ref="B55:F55"/>
    <mergeCell ref="B38:I38"/>
    <mergeCell ref="B52:F52"/>
    <mergeCell ref="B46:F46"/>
    <mergeCell ref="B47:F47"/>
    <mergeCell ref="B53:F53"/>
    <mergeCell ref="B44:I44"/>
    <mergeCell ref="G46:H46"/>
    <mergeCell ref="G47:H47"/>
    <mergeCell ref="G51:H51"/>
    <mergeCell ref="G52:H52"/>
    <mergeCell ref="B45:F45"/>
    <mergeCell ref="G45:H45"/>
    <mergeCell ref="B49:I49"/>
  </mergeCells>
  <phoneticPr fontId="3" type="noConversion"/>
  <conditionalFormatting sqref="D7:D8 E7:I7">
    <cfRule type="containsText" dxfId="1" priority="1" stopIfTrue="1" operator="containsText" text="F00.D00.BG00.">
      <formula>NOT(ISERROR(SEARCH("F00.D00.BG00.",D7)))</formula>
    </cfRule>
  </conditionalFormatting>
  <dataValidations count="12">
    <dataValidation type="list" allowBlank="1" showInputMessage="1" showErrorMessage="1" sqref="H35 H48 G30:G35 G46:G48 G51:G55">
      <formula1>"YES,NO"</formula1>
    </dataValidation>
    <dataValidation type="custom" allowBlank="1" showInputMessage="1" showErrorMessage="1" sqref="D7:I7">
      <formula1>CONCATENATE(Summary!B5,".",Summary!C5,".",Summary!D5,".",TEXT(Summary!E5,"F##.00"),".",TEXT(Summary!F5,"D##.00"),".",TEXT(Summary!G5,"""BG""#.#00"),".",Summary!H5)</formula1>
    </dataValidation>
    <dataValidation type="list" operator="greaterThan" allowBlank="1" showInputMessage="1" showErrorMessage="1" sqref="H6">
      <formula1>"ZIP,RAR"</formula1>
    </dataValidation>
    <dataValidation type="list" allowBlank="1" showInputMessage="1" showErrorMessage="1" sqref="B5:B6">
      <formula1>"PGM1R1"</formula1>
    </dataValidation>
    <dataValidation type="list" allowBlank="1" showInputMessage="1" showErrorMessage="1" sqref="C5:C6">
      <formula1>"DM,IN,SB,SR"</formula1>
    </dataValidation>
    <dataValidation type="list" allowBlank="1" showInputMessage="1" showErrorMessage="1" sqref="D6">
      <formula1>"X1,X2,X3,X4,X5,X6"</formula1>
    </dataValidation>
    <dataValidation type="decimal" allowBlank="1" showInputMessage="1" showErrorMessage="1" errorTitle="Input Error" error="You can insert only a number between 1 and 99" prompt="Insert only a number between 0 and 99" sqref="E6 F5">
      <formula1>0</formula1>
      <formula2>99</formula2>
    </dataValidation>
    <dataValidation type="decimal" allowBlank="1" showInputMessage="1" showErrorMessage="1" errorTitle="Input Error" error="You can insert only a number between 1 and 99" prompt="Insert only a number between 1 and 99" sqref="F6:G6 E5">
      <formula1>1</formula1>
      <formula2>99</formula2>
    </dataValidation>
    <dataValidation type="decimal" allowBlank="1" showInputMessage="1" showErrorMessage="1" errorTitle="Input Error" error="You can insert only a number between 0 and 99" prompt="Insert only a number between 0 and 99" sqref="G5">
      <formula1>0</formula1>
      <formula2>99</formula2>
    </dataValidation>
    <dataValidation type="list" operator="greaterThan" allowBlank="1" showInputMessage="1" showErrorMessage="1" sqref="H5">
      <formula1>"zip,rar"</formula1>
    </dataValidation>
    <dataValidation type="custom" allowBlank="1" showInputMessage="1" showErrorMessage="1" sqref="D8:I8">
      <formula1>CONCATENATE(Summary!B5,".",Summary!C5,".",Summary!D5,".",TEXT(Summary!E5,"F##.00"),".",TEXT(Summary!F5,"D##.00"),".",TEXT(Summary!G5,"""BG""#.#00"),".","docx")</formula1>
    </dataValidation>
    <dataValidation type="list" allowBlank="1" showInputMessage="1" showErrorMessage="1" sqref="D5">
      <formula1>"W0,W1,W2,W3"</formula1>
    </dataValidation>
  </dataValidations>
  <pageMargins left="0.47" right="0.41" top="0.49" bottom="0.54" header="0.5" footer="0.5"/>
  <pageSetup paperSize="9" scale="63"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sheetPr codeName="Sheet4"/>
  <dimension ref="B2:H20"/>
  <sheetViews>
    <sheetView showGridLines="0" topLeftCell="A19" workbookViewId="0">
      <selection activeCell="A12" sqref="A12:XFD20"/>
    </sheetView>
  </sheetViews>
  <sheetFormatPr defaultRowHeight="12.75"/>
  <cols>
    <col min="2" max="2" width="54" style="73" customWidth="1"/>
    <col min="3" max="3" width="29" style="73" customWidth="1"/>
    <col min="4" max="4" width="31.42578125" style="73" customWidth="1"/>
  </cols>
  <sheetData>
    <row r="2" spans="2:8" ht="13.5" thickBot="1"/>
    <row r="3" spans="2:8" ht="15.75">
      <c r="B3" s="224" t="s">
        <v>61</v>
      </c>
      <c r="C3" s="225"/>
      <c r="D3" s="226"/>
    </row>
    <row r="4" spans="2:8" ht="13.5" customHeight="1" thickBot="1">
      <c r="B4" s="231"/>
      <c r="C4" s="232"/>
      <c r="D4" s="232"/>
      <c r="E4" s="64"/>
      <c r="F4" s="64"/>
      <c r="G4" s="64"/>
      <c r="H4" s="64"/>
    </row>
    <row r="5" spans="2:8" ht="63.75">
      <c r="B5" s="86" t="s">
        <v>77</v>
      </c>
      <c r="C5" s="227"/>
      <c r="D5" s="228"/>
    </row>
    <row r="6" spans="2:8" ht="38.25">
      <c r="B6" s="87" t="s">
        <v>78</v>
      </c>
      <c r="C6" s="233"/>
      <c r="D6" s="234"/>
    </row>
    <row r="7" spans="2:8" ht="38.25">
      <c r="B7" s="74" t="s">
        <v>76</v>
      </c>
      <c r="C7" s="229"/>
      <c r="D7" s="230"/>
    </row>
    <row r="8" spans="2:8" ht="51">
      <c r="B8" s="74" t="s">
        <v>64</v>
      </c>
      <c r="C8" s="235"/>
      <c r="D8" s="234"/>
    </row>
    <row r="9" spans="2:8" ht="51">
      <c r="B9" s="74" t="s">
        <v>65</v>
      </c>
      <c r="C9" s="170"/>
      <c r="D9" s="236"/>
    </row>
    <row r="10" spans="2:8" ht="51">
      <c r="B10" s="76" t="s">
        <v>66</v>
      </c>
      <c r="C10" s="77"/>
      <c r="D10" s="80" t="s">
        <v>59</v>
      </c>
    </row>
    <row r="11" spans="2:8" ht="38.25">
      <c r="B11" s="74" t="s">
        <v>67</v>
      </c>
      <c r="C11" s="170"/>
      <c r="D11" s="236"/>
    </row>
    <row r="12" spans="2:8" ht="51">
      <c r="B12" s="74" t="s">
        <v>68</v>
      </c>
      <c r="C12" s="78"/>
      <c r="D12" s="81" t="s">
        <v>59</v>
      </c>
    </row>
    <row r="13" spans="2:8" ht="76.5">
      <c r="B13" s="74" t="s">
        <v>69</v>
      </c>
      <c r="C13" s="78"/>
      <c r="D13" s="79" t="s">
        <v>59</v>
      </c>
    </row>
    <row r="14" spans="2:8" ht="51">
      <c r="B14" s="74" t="s">
        <v>70</v>
      </c>
      <c r="C14" s="78"/>
      <c r="D14" s="82" t="s">
        <v>59</v>
      </c>
    </row>
    <row r="15" spans="2:8" ht="51">
      <c r="B15" s="74" t="s">
        <v>71</v>
      </c>
      <c r="C15" s="75"/>
      <c r="D15" s="83" t="s">
        <v>59</v>
      </c>
    </row>
    <row r="16" spans="2:8" ht="76.5">
      <c r="B16" s="74" t="s">
        <v>72</v>
      </c>
      <c r="C16" s="233"/>
      <c r="D16" s="234"/>
    </row>
    <row r="17" spans="2:4" ht="38.25" customHeight="1">
      <c r="B17" s="222" t="s">
        <v>73</v>
      </c>
      <c r="C17" s="84" t="s">
        <v>59</v>
      </c>
      <c r="D17" s="85" t="s">
        <v>59</v>
      </c>
    </row>
    <row r="18" spans="2:4">
      <c r="B18" s="223"/>
      <c r="C18" s="220" t="s">
        <v>59</v>
      </c>
      <c r="D18" s="221"/>
    </row>
    <row r="19" spans="2:4" ht="38.25" customHeight="1">
      <c r="B19" s="222" t="s">
        <v>74</v>
      </c>
      <c r="C19" s="84" t="s">
        <v>59</v>
      </c>
      <c r="D19" s="85" t="s">
        <v>59</v>
      </c>
    </row>
    <row r="20" spans="2:4">
      <c r="B20" s="223"/>
      <c r="C20" s="220" t="s">
        <v>59</v>
      </c>
      <c r="D20" s="221"/>
    </row>
  </sheetData>
  <mergeCells count="13">
    <mergeCell ref="C20:D20"/>
    <mergeCell ref="B19:B20"/>
    <mergeCell ref="B3:D3"/>
    <mergeCell ref="C5:D5"/>
    <mergeCell ref="B17:B18"/>
    <mergeCell ref="C7:D7"/>
    <mergeCell ref="B4:D4"/>
    <mergeCell ref="C6:D6"/>
    <mergeCell ref="C8:D8"/>
    <mergeCell ref="C9:D9"/>
    <mergeCell ref="C11:D11"/>
    <mergeCell ref="C16:D16"/>
    <mergeCell ref="C18:D18"/>
  </mergeCells>
  <dataValidations count="6">
    <dataValidation type="list" allowBlank="1" showInputMessage="1" showErrorMessage="1" sqref="C7:D7">
      <formula1>"ST,IT,TR,PT,PR"</formula1>
    </dataValidation>
    <dataValidation type="date" operator="greaterThan" allowBlank="1" showInputMessage="1" showErrorMessage="1" sqref="C8:D8">
      <formula1>40179</formula1>
    </dataValidation>
    <dataValidation type="list" allowBlank="1" showInputMessage="1" showErrorMessage="1" sqref="C9:D9">
      <formula1>"Incremental,Full"</formula1>
    </dataValidation>
    <dataValidation type="list" allowBlank="1" showInputMessage="1" showErrorMessage="1" sqref="C11:D11">
      <formula1>"Client,Server,Both"</formula1>
    </dataValidation>
    <dataValidation type="list" allowBlank="1" showInputMessage="1" showErrorMessage="1" sqref="C12 C14">
      <formula1>"Yes,No"</formula1>
    </dataValidation>
    <dataValidation type="list" allowBlank="1" showInputMessage="1" showErrorMessage="1" sqref="C13">
      <formula1>"During Business Hours,Outside Business Hours"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sheetPr codeName="Sheet1"/>
  <dimension ref="B1:J40"/>
  <sheetViews>
    <sheetView showGridLines="0" topLeftCell="A7" workbookViewId="0">
      <selection activeCell="B14" sqref="B14:I14"/>
    </sheetView>
  </sheetViews>
  <sheetFormatPr defaultRowHeight="12.75" outlineLevelRow="1"/>
  <cols>
    <col min="1" max="1" width="5.85546875" style="2" customWidth="1"/>
    <col min="2" max="2" width="18.5703125" style="2" bestFit="1" customWidth="1"/>
    <col min="3" max="3" width="9" style="2" bestFit="1" customWidth="1"/>
    <col min="4" max="4" width="18.7109375" style="2" bestFit="1" customWidth="1"/>
    <col min="5" max="5" width="16.28515625" style="2" customWidth="1"/>
    <col min="6" max="6" width="14.140625" style="2" bestFit="1" customWidth="1"/>
    <col min="7" max="7" width="21" style="2" bestFit="1" customWidth="1"/>
    <col min="8" max="8" width="17.140625" style="2" customWidth="1"/>
    <col min="9" max="9" width="42.5703125" style="2" customWidth="1"/>
    <col min="10" max="16384" width="9.140625" style="2"/>
  </cols>
  <sheetData>
    <row r="1" spans="2:10" ht="12" customHeight="1"/>
    <row r="2" spans="2:10" ht="12" customHeight="1">
      <c r="C2" s="27"/>
    </row>
    <row r="3" spans="2:10" ht="12" customHeight="1" thickBot="1"/>
    <row r="4" spans="2:10" customFormat="1" ht="15.75" customHeight="1" thickBot="1">
      <c r="B4" s="237" t="s">
        <v>61</v>
      </c>
      <c r="C4" s="238"/>
      <c r="D4" s="238"/>
      <c r="E4" s="238"/>
      <c r="F4" s="238"/>
      <c r="G4" s="238"/>
      <c r="H4" s="238"/>
      <c r="I4" s="239"/>
    </row>
    <row r="5" spans="2:10" customFormat="1" ht="13.5" customHeight="1" thickBot="1">
      <c r="B5" s="174"/>
      <c r="C5" s="175"/>
      <c r="D5" s="175"/>
      <c r="E5" s="175"/>
      <c r="F5" s="175"/>
      <c r="G5" s="175"/>
      <c r="H5" s="175"/>
      <c r="I5" s="176"/>
    </row>
    <row r="6" spans="2:10" customFormat="1" ht="13.5" customHeight="1" thickBot="1">
      <c r="B6" s="88"/>
      <c r="C6" s="88"/>
      <c r="D6" s="88"/>
      <c r="E6" s="64"/>
      <c r="F6" s="64"/>
      <c r="G6" s="64"/>
      <c r="H6" s="64"/>
    </row>
    <row r="7" spans="2:10" ht="21.75" customHeight="1" thickBot="1">
      <c r="B7" s="19" t="s">
        <v>4</v>
      </c>
      <c r="C7" s="20" t="s">
        <v>1</v>
      </c>
      <c r="D7" s="20" t="s">
        <v>46</v>
      </c>
      <c r="E7" s="20" t="s">
        <v>2</v>
      </c>
      <c r="F7" s="20" t="s">
        <v>75</v>
      </c>
      <c r="G7" s="20" t="s">
        <v>14</v>
      </c>
      <c r="H7" s="31" t="s">
        <v>90</v>
      </c>
      <c r="I7" s="21" t="s">
        <v>0</v>
      </c>
    </row>
    <row r="8" spans="2:10" ht="23.25" customHeight="1" outlineLevel="1" thickBot="1">
      <c r="B8" s="40" t="s">
        <v>91</v>
      </c>
      <c r="C8" s="40" t="s">
        <v>92</v>
      </c>
      <c r="D8" s="251" t="s">
        <v>129</v>
      </c>
      <c r="E8" s="252"/>
      <c r="F8" s="252"/>
      <c r="G8" s="253"/>
      <c r="H8" s="46" t="s">
        <v>93</v>
      </c>
      <c r="I8" s="44" t="s">
        <v>130</v>
      </c>
      <c r="J8" s="30"/>
    </row>
    <row r="9" spans="2:10" s="32" customFormat="1" ht="4.5" customHeight="1" outlineLevel="1" thickBot="1">
      <c r="B9" s="33"/>
      <c r="C9" s="33"/>
      <c r="D9" s="33"/>
      <c r="E9" s="34"/>
      <c r="F9" s="35"/>
      <c r="G9" s="36"/>
      <c r="H9" s="37"/>
      <c r="I9" s="33"/>
      <c r="J9" s="38"/>
    </row>
    <row r="10" spans="2:10" ht="23.25" customHeight="1" outlineLevel="1">
      <c r="B10" s="197" t="s">
        <v>5</v>
      </c>
      <c r="C10" s="198"/>
      <c r="D10" s="199" t="str">
        <f>CONCATENATE(B8,".",C8,".",D8,".",TEXT(E8,"F##.00"),".",TEXT(F8,"D##.00"),".",TEXT(G8,"""BG""#.#00"),".",H8)</f>
        <v>PGM1R1.IN.CUSTOM CLASS.F00.D00.BG00.zip</v>
      </c>
      <c r="E10" s="199"/>
      <c r="F10" s="199"/>
      <c r="G10" s="199"/>
      <c r="H10" s="199"/>
      <c r="I10" s="200"/>
      <c r="J10" s="29"/>
    </row>
    <row r="11" spans="2:10" ht="23.25" customHeight="1" outlineLevel="1" thickBot="1">
      <c r="B11" s="201" t="s">
        <v>25</v>
      </c>
      <c r="C11" s="202"/>
      <c r="D11" s="203" t="str">
        <f>CONCATENATE(B8,".",C8,".",D8,".",TEXT(E8,"F##.00"),".",TEXT(F8,"D##.00"),".",TEXT(G8,"""BG""#.#00"),".","xlsx")</f>
        <v>PGM1R1.IN.CUSTOM CLASS.F00.D00.BG00.xlsx</v>
      </c>
      <c r="E11" s="204"/>
      <c r="F11" s="204"/>
      <c r="G11" s="204"/>
      <c r="H11" s="204"/>
      <c r="I11" s="205"/>
      <c r="J11" s="29"/>
    </row>
    <row r="12" spans="2:10" ht="15.95" customHeight="1" thickBot="1">
      <c r="B12" s="133" t="str">
        <f>CONCATENATE(B8,".",C8,".",D8,".",TEXT(E8,"F##.00"),".",TEXT(F8,"D##.00"),".",TEXT(G8,"""BG""#.#00"),".","xlsm")</f>
        <v>PGM1R1.IN.CUSTOM CLASS.F00.D00.BG00.xlsm</v>
      </c>
      <c r="C12" s="1"/>
      <c r="D12" s="1"/>
      <c r="E12" s="1"/>
      <c r="F12" s="1"/>
      <c r="G12" s="1"/>
      <c r="H12" s="1"/>
      <c r="I12" s="1"/>
    </row>
    <row r="13" spans="2:10" ht="15.75" thickBot="1">
      <c r="B13" s="191" t="s">
        <v>7</v>
      </c>
      <c r="C13" s="192"/>
      <c r="D13" s="192"/>
      <c r="E13" s="192"/>
      <c r="F13" s="192"/>
      <c r="G13" s="192"/>
      <c r="H13" s="192"/>
      <c r="I13" s="193"/>
    </row>
    <row r="14" spans="2:10" s="47" customFormat="1" ht="12" customHeight="1" thickBot="1">
      <c r="B14" s="174" t="s">
        <v>15</v>
      </c>
      <c r="C14" s="175"/>
      <c r="D14" s="175"/>
      <c r="E14" s="175"/>
      <c r="F14" s="175"/>
      <c r="G14" s="175"/>
      <c r="H14" s="175"/>
      <c r="I14" s="176"/>
    </row>
    <row r="15" spans="2:10" ht="12.75" customHeight="1" outlineLevel="1">
      <c r="B15" s="271" t="s">
        <v>123</v>
      </c>
      <c r="C15" s="272"/>
      <c r="D15" s="272"/>
      <c r="E15" s="272"/>
      <c r="F15" s="272"/>
      <c r="G15" s="272"/>
      <c r="H15" s="272"/>
      <c r="I15" s="273"/>
    </row>
    <row r="16" spans="2:10" outlineLevel="1">
      <c r="B16" s="274"/>
      <c r="C16" s="275"/>
      <c r="D16" s="275"/>
      <c r="E16" s="275"/>
      <c r="F16" s="275"/>
      <c r="G16" s="275"/>
      <c r="H16" s="275"/>
      <c r="I16" s="276"/>
    </row>
    <row r="17" spans="2:10" outlineLevel="1">
      <c r="B17" s="274"/>
      <c r="C17" s="275"/>
      <c r="D17" s="275"/>
      <c r="E17" s="275"/>
      <c r="F17" s="275"/>
      <c r="G17" s="275"/>
      <c r="H17" s="275"/>
      <c r="I17" s="276"/>
    </row>
    <row r="18" spans="2:10" ht="13.5" outlineLevel="1" thickBot="1">
      <c r="B18" s="277"/>
      <c r="C18" s="278"/>
      <c r="D18" s="278"/>
      <c r="E18" s="278"/>
      <c r="F18" s="278"/>
      <c r="G18" s="278"/>
      <c r="H18" s="278"/>
      <c r="I18" s="279"/>
    </row>
    <row r="19" spans="2:10" ht="15.95" customHeight="1">
      <c r="B19" s="6"/>
      <c r="C19" s="6"/>
      <c r="D19" s="6"/>
      <c r="E19" s="6"/>
      <c r="F19" s="6"/>
      <c r="G19" s="6"/>
      <c r="H19" s="6"/>
      <c r="I19" s="6"/>
    </row>
    <row r="20" spans="2:10" customFormat="1" ht="16.5" thickBot="1">
      <c r="B20" s="90"/>
      <c r="C20" s="90"/>
      <c r="D20" s="89"/>
    </row>
    <row r="21" spans="2:10" customFormat="1" ht="102.75" customHeight="1" thickBot="1">
      <c r="B21" s="280" t="s">
        <v>85</v>
      </c>
      <c r="C21" s="281"/>
      <c r="D21" s="91" t="s">
        <v>94</v>
      </c>
      <c r="E21" s="93" t="s">
        <v>59</v>
      </c>
      <c r="G21" s="97" t="s">
        <v>87</v>
      </c>
      <c r="H21" s="282" t="s">
        <v>108</v>
      </c>
      <c r="I21" s="283"/>
      <c r="J21" s="135" t="s">
        <v>122</v>
      </c>
    </row>
    <row r="22" spans="2:10" customFormat="1" ht="15.75">
      <c r="B22" s="90"/>
      <c r="C22" s="90"/>
      <c r="D22" s="89"/>
    </row>
    <row r="23" spans="2:10" customFormat="1" ht="13.5" thickBot="1">
      <c r="B23" s="2"/>
      <c r="C23" s="2"/>
      <c r="D23" s="2"/>
    </row>
    <row r="24" spans="2:10" customFormat="1" ht="99" customHeight="1" thickBot="1">
      <c r="B24" s="280" t="s">
        <v>86</v>
      </c>
      <c r="C24" s="286"/>
      <c r="D24" s="287" t="s">
        <v>95</v>
      </c>
      <c r="E24" s="288"/>
      <c r="G24" s="92" t="s">
        <v>88</v>
      </c>
      <c r="H24" s="284" t="s">
        <v>131</v>
      </c>
      <c r="I24" s="285"/>
    </row>
    <row r="25" spans="2:10" customFormat="1">
      <c r="B25" s="2"/>
      <c r="C25" s="2"/>
      <c r="D25" s="2"/>
    </row>
    <row r="26" spans="2:10" ht="15.95" customHeight="1" thickBot="1">
      <c r="B26" s="23"/>
      <c r="C26" s="24"/>
      <c r="D26" s="24"/>
      <c r="E26" s="24"/>
      <c r="F26" s="24"/>
      <c r="G26" s="24"/>
      <c r="H26" s="24"/>
      <c r="I26" s="25"/>
    </row>
    <row r="27" spans="2:10" ht="18" customHeight="1" thickBot="1">
      <c r="B27" s="191" t="s">
        <v>79</v>
      </c>
      <c r="C27" s="192"/>
      <c r="D27" s="192"/>
      <c r="E27" s="192"/>
      <c r="F27" s="192"/>
      <c r="G27" s="192"/>
      <c r="H27" s="192"/>
      <c r="I27" s="193"/>
    </row>
    <row r="28" spans="2:10" s="47" customFormat="1" ht="12" customHeight="1" thickBot="1">
      <c r="B28" s="256" t="s">
        <v>80</v>
      </c>
      <c r="C28" s="257"/>
      <c r="D28" s="257"/>
      <c r="E28" s="257"/>
      <c r="F28" s="257"/>
      <c r="G28" s="257"/>
      <c r="H28" s="257"/>
      <c r="I28" s="258"/>
    </row>
    <row r="29" spans="2:10" outlineLevel="1">
      <c r="B29" s="259" t="s">
        <v>81</v>
      </c>
      <c r="C29" s="260"/>
      <c r="D29" s="260"/>
      <c r="E29" s="260" t="s">
        <v>82</v>
      </c>
      <c r="F29" s="260"/>
      <c r="G29" s="260" t="s">
        <v>83</v>
      </c>
      <c r="H29" s="260"/>
      <c r="I29" s="261"/>
    </row>
    <row r="30" spans="2:10" outlineLevel="1">
      <c r="B30" s="250" t="s">
        <v>119</v>
      </c>
      <c r="C30" s="247"/>
      <c r="D30" s="247"/>
      <c r="E30" s="245" t="s">
        <v>120</v>
      </c>
      <c r="F30" s="245"/>
      <c r="G30" s="246" t="s">
        <v>121</v>
      </c>
      <c r="H30" s="247"/>
      <c r="I30" s="248"/>
    </row>
    <row r="31" spans="2:10" outlineLevel="1">
      <c r="B31" s="243"/>
      <c r="C31" s="244"/>
      <c r="D31" s="244"/>
      <c r="E31" s="244"/>
      <c r="F31" s="244"/>
      <c r="G31" s="244"/>
      <c r="H31" s="244"/>
      <c r="I31" s="249"/>
    </row>
    <row r="32" spans="2:10" outlineLevel="1">
      <c r="B32" s="243"/>
      <c r="C32" s="244"/>
      <c r="D32" s="244"/>
      <c r="E32" s="244"/>
      <c r="F32" s="244"/>
      <c r="G32" s="244"/>
      <c r="H32" s="244"/>
      <c r="I32" s="249"/>
    </row>
    <row r="33" spans="2:9" ht="13.5" outlineLevel="1" thickBot="1">
      <c r="B33" s="240"/>
      <c r="C33" s="241"/>
      <c r="D33" s="241"/>
      <c r="E33" s="241"/>
      <c r="F33" s="241"/>
      <c r="G33" s="241"/>
      <c r="H33" s="241"/>
      <c r="I33" s="242"/>
    </row>
    <row r="34" spans="2:9" ht="15.95" customHeight="1">
      <c r="B34" s="3"/>
    </row>
    <row r="35" spans="2:9" ht="16.5" thickBot="1">
      <c r="B35" s="4"/>
    </row>
    <row r="36" spans="2:9" ht="31.5">
      <c r="B36" s="62" t="s">
        <v>51</v>
      </c>
      <c r="C36" s="198" t="s">
        <v>0</v>
      </c>
      <c r="D36" s="198"/>
      <c r="E36" s="198" t="s">
        <v>52</v>
      </c>
      <c r="F36" s="198"/>
      <c r="G36" s="198" t="s">
        <v>53</v>
      </c>
      <c r="H36" s="198"/>
      <c r="I36" s="267"/>
    </row>
    <row r="37" spans="2:9">
      <c r="B37" s="268" t="s">
        <v>84</v>
      </c>
      <c r="C37" s="269"/>
      <c r="D37" s="269"/>
      <c r="E37" s="269"/>
      <c r="F37" s="269"/>
      <c r="G37" s="269"/>
      <c r="H37" s="269"/>
      <c r="I37" s="270"/>
    </row>
    <row r="38" spans="2:9" ht="13.5" customHeight="1">
      <c r="B38" s="131"/>
      <c r="C38" s="262"/>
      <c r="D38" s="262"/>
      <c r="E38" s="262"/>
      <c r="F38" s="262"/>
      <c r="G38" s="263"/>
      <c r="H38" s="263"/>
      <c r="I38" s="264"/>
    </row>
    <row r="39" spans="2:9">
      <c r="B39" s="98"/>
      <c r="C39" s="254"/>
      <c r="D39" s="254"/>
      <c r="E39" s="254"/>
      <c r="F39" s="254"/>
      <c r="G39" s="254"/>
      <c r="H39" s="254"/>
      <c r="I39" s="265"/>
    </row>
    <row r="40" spans="2:9" ht="13.5" thickBot="1">
      <c r="B40" s="96"/>
      <c r="C40" s="255"/>
      <c r="D40" s="255"/>
      <c r="E40" s="255"/>
      <c r="F40" s="255"/>
      <c r="G40" s="255"/>
      <c r="H40" s="255"/>
      <c r="I40" s="266"/>
    </row>
  </sheetData>
  <dataConsolidate/>
  <mergeCells count="45">
    <mergeCell ref="C36:D36"/>
    <mergeCell ref="C38:D38"/>
    <mergeCell ref="B10:C10"/>
    <mergeCell ref="D10:I10"/>
    <mergeCell ref="B11:C11"/>
    <mergeCell ref="D11:I11"/>
    <mergeCell ref="B13:I13"/>
    <mergeCell ref="B14:I14"/>
    <mergeCell ref="B15:I18"/>
    <mergeCell ref="B21:C21"/>
    <mergeCell ref="H21:I21"/>
    <mergeCell ref="H24:I24"/>
    <mergeCell ref="B24:C24"/>
    <mergeCell ref="D24:E24"/>
    <mergeCell ref="C39:D39"/>
    <mergeCell ref="C40:D40"/>
    <mergeCell ref="E36:F36"/>
    <mergeCell ref="B27:I27"/>
    <mergeCell ref="B28:I28"/>
    <mergeCell ref="B29:D29"/>
    <mergeCell ref="E29:F29"/>
    <mergeCell ref="G29:I29"/>
    <mergeCell ref="E38:F38"/>
    <mergeCell ref="G38:I38"/>
    <mergeCell ref="E39:F39"/>
    <mergeCell ref="G39:I39"/>
    <mergeCell ref="E40:F40"/>
    <mergeCell ref="G40:I40"/>
    <mergeCell ref="G36:I36"/>
    <mergeCell ref="B37:I37"/>
    <mergeCell ref="B4:I4"/>
    <mergeCell ref="B5:I5"/>
    <mergeCell ref="B33:D33"/>
    <mergeCell ref="E33:F33"/>
    <mergeCell ref="G33:I33"/>
    <mergeCell ref="B31:D31"/>
    <mergeCell ref="B32:D32"/>
    <mergeCell ref="E30:F30"/>
    <mergeCell ref="G30:I30"/>
    <mergeCell ref="E31:F31"/>
    <mergeCell ref="G31:I31"/>
    <mergeCell ref="E32:F32"/>
    <mergeCell ref="G32:I32"/>
    <mergeCell ref="B30:D30"/>
    <mergeCell ref="D8:G8"/>
  </mergeCells>
  <conditionalFormatting sqref="D10:D11 E10:I10">
    <cfRule type="containsText" dxfId="0" priority="1" stopIfTrue="1" operator="containsText" text="F00.D00.BG00.">
      <formula>NOT(ISERROR(SEARCH("F00.D00.BG00.",D10)))</formula>
    </cfRule>
  </conditionalFormatting>
  <dataValidations count="10">
    <dataValidation type="custom" allowBlank="1" showInputMessage="1" showErrorMessage="1" sqref="D11:I11">
      <formula1>CONCATENATE(B8,".",C8,".",D8,".",TEXT(E8,"F##.00"),".",TEXT(F8,"D##.00"),".",TEXT(G8,"""BG""#.#00"),".","xlsx")</formula1>
    </dataValidation>
    <dataValidation type="list" allowBlank="1" showInputMessage="1" showErrorMessage="1" sqref="H21:I21">
      <formula1>"ST,IT,TR,PT,PR"</formula1>
    </dataValidation>
    <dataValidation type="list" operator="greaterThan" allowBlank="1" showInputMessage="1" showErrorMessage="1" sqref="H8">
      <formula1>"zip,rar"</formula1>
    </dataValidation>
    <dataValidation type="decimal" allowBlank="1" showInputMessage="1" showErrorMessage="1" errorTitle="Input Error" error="You can insert only a number between 1 and 99" prompt="Insert only a number between 1 and 99" sqref="F9:G9">
      <formula1>1</formula1>
      <formula2>99</formula2>
    </dataValidation>
    <dataValidation type="decimal" allowBlank="1" showInputMessage="1" showErrorMessage="1" errorTitle="Input Error" error="You can insert only a number between 1 and 99" prompt="Insert only a number between 0 and 99" sqref="E9">
      <formula1>0</formula1>
      <formula2>99</formula2>
    </dataValidation>
    <dataValidation type="list" allowBlank="1" showInputMessage="1" showErrorMessage="1" sqref="D9">
      <formula1>"X1,X2,X3,X4,X5,X6"</formula1>
    </dataValidation>
    <dataValidation type="list" allowBlank="1" showInputMessage="1" showErrorMessage="1" sqref="C8:C9">
      <formula1>"DM,IN,SB,SR"</formula1>
    </dataValidation>
    <dataValidation type="list" allowBlank="1" showInputMessage="1" showErrorMessage="1" sqref="B8:B9">
      <formula1>"PGM1R1"</formula1>
    </dataValidation>
    <dataValidation type="list" operator="greaterThan" allowBlank="1" showInputMessage="1" showErrorMessage="1" sqref="H9">
      <formula1>"ZIP,RAR"</formula1>
    </dataValidation>
    <dataValidation type="custom" allowBlank="1" showInputMessage="1" showErrorMessage="1" sqref="D10:I10">
      <formula1>CONCATENATE('1. General information'!B5,".",'1. General information'!C5,".",'1. General information'!D5,".",TEXT('1. General information'!E5,"F##.00"),".",TEXT('1. General information'!F5,"D##.00"),".",TEXT('1. General information'!G5,"""BG""#.#00"),".",'1. General information'!H5)</formula1>
    </dataValidation>
  </dataValidations>
  <hyperlinks>
    <hyperlink ref="G30" r:id="rId1"/>
  </hyperlinks>
  <pageMargins left="0.47" right="0.41" top="0.49" bottom="0.54" header="0.5" footer="0.5"/>
  <pageSetup paperSize="9" scale="63" orientation="portrait" r:id="rId2"/>
  <headerFooter alignWithMargins="0"/>
  <drawing r:id="rId3"/>
  <legacyDrawing r:id="rId4"/>
  <controls>
    <control shapeId="3073" r:id="rId5" name="CommandButton1"/>
  </controls>
</worksheet>
</file>

<file path=xl/worksheets/sheet5.xml><?xml version="1.0" encoding="utf-8"?>
<worksheet xmlns="http://schemas.openxmlformats.org/spreadsheetml/2006/main" xmlns:r="http://schemas.openxmlformats.org/officeDocument/2006/relationships">
  <sheetPr codeName="Sheet5"/>
  <dimension ref="A3:H29"/>
  <sheetViews>
    <sheetView showGridLines="0" workbookViewId="0">
      <selection activeCell="C6" sqref="C6"/>
    </sheetView>
  </sheetViews>
  <sheetFormatPr defaultRowHeight="12.75" outlineLevelRow="2"/>
  <cols>
    <col min="2" max="2" width="8.5703125" bestFit="1" customWidth="1"/>
    <col min="3" max="3" width="60.140625" customWidth="1"/>
    <col min="4" max="4" width="18.5703125" customWidth="1"/>
    <col min="5" max="5" width="19.28515625" customWidth="1"/>
    <col min="6" max="6" width="58.7109375" customWidth="1"/>
    <col min="7" max="7" width="17.28515625" customWidth="1"/>
    <col min="8" max="8" width="15.140625" customWidth="1"/>
  </cols>
  <sheetData>
    <row r="3" spans="1:8" ht="13.5" thickBot="1"/>
    <row r="4" spans="1:8" ht="48.75" customHeight="1" thickBot="1">
      <c r="B4" s="289" t="s">
        <v>89</v>
      </c>
      <c r="C4" s="290"/>
      <c r="D4" s="290"/>
      <c r="E4" s="290"/>
      <c r="F4" s="290"/>
      <c r="G4" s="290"/>
      <c r="H4" s="291"/>
    </row>
    <row r="5" spans="1:8" ht="13.5" thickBot="1">
      <c r="B5" s="95"/>
      <c r="C5" s="94"/>
    </row>
    <row r="6" spans="1:8" ht="31.5">
      <c r="B6" s="62" t="s">
        <v>54</v>
      </c>
      <c r="C6" s="63" t="s">
        <v>55</v>
      </c>
      <c r="D6" s="296" t="s">
        <v>56</v>
      </c>
      <c r="E6" s="297"/>
      <c r="F6" s="63" t="s">
        <v>57</v>
      </c>
      <c r="G6" s="63" t="s">
        <v>60</v>
      </c>
      <c r="H6" s="65" t="s">
        <v>58</v>
      </c>
    </row>
    <row r="7" spans="1:8" ht="15.75" outlineLevel="1">
      <c r="B7" s="99"/>
      <c r="C7" s="99"/>
      <c r="D7" s="300"/>
      <c r="E7" s="301"/>
      <c r="F7" s="99"/>
      <c r="G7" s="99"/>
      <c r="H7" s="99"/>
    </row>
    <row r="8" spans="1:8" ht="63.75" outlineLevel="1">
      <c r="B8" s="103">
        <v>0</v>
      </c>
      <c r="C8" s="134" t="s">
        <v>117</v>
      </c>
      <c r="D8" s="298"/>
      <c r="E8" s="299"/>
      <c r="F8" s="132" t="s">
        <v>118</v>
      </c>
      <c r="G8" s="103"/>
      <c r="H8" s="103"/>
    </row>
    <row r="9" spans="1:8" s="102" customFormat="1" ht="15.75">
      <c r="B9" s="99"/>
      <c r="C9" s="100"/>
      <c r="D9" s="300"/>
      <c r="E9" s="301"/>
      <c r="F9" s="100"/>
      <c r="G9" s="100"/>
      <c r="H9" s="101"/>
    </row>
    <row r="10" spans="1:8" s="102" customFormat="1" ht="25.5" outlineLevel="1">
      <c r="B10" s="103">
        <v>1</v>
      </c>
      <c r="C10" s="104" t="s">
        <v>97</v>
      </c>
      <c r="D10" s="298"/>
      <c r="E10" s="299"/>
      <c r="F10" s="105"/>
      <c r="G10" s="106"/>
      <c r="H10" s="107" t="s">
        <v>99</v>
      </c>
    </row>
    <row r="11" spans="1:8" s="102" customFormat="1" ht="25.5" outlineLevel="1">
      <c r="B11" s="103">
        <v>2</v>
      </c>
      <c r="C11" s="104" t="s">
        <v>110</v>
      </c>
      <c r="D11" s="298"/>
      <c r="E11" s="299"/>
      <c r="F11" s="105" t="s">
        <v>98</v>
      </c>
      <c r="G11" s="106"/>
      <c r="H11" s="107" t="s">
        <v>100</v>
      </c>
    </row>
    <row r="12" spans="1:8" s="102" customFormat="1">
      <c r="B12" s="108" t="str">
        <f>IF(C12&lt;&gt;"",#REF!+1,"")</f>
        <v/>
      </c>
      <c r="C12" s="109"/>
      <c r="D12" s="300"/>
      <c r="E12" s="301"/>
      <c r="F12" s="110"/>
      <c r="G12" s="110"/>
      <c r="H12" s="111"/>
    </row>
    <row r="13" spans="1:8" s="102" customFormat="1" ht="25.5" outlineLevel="1">
      <c r="B13" s="103">
        <v>3</v>
      </c>
      <c r="C13" s="104" t="s">
        <v>101</v>
      </c>
      <c r="D13" s="298"/>
      <c r="E13" s="299"/>
      <c r="F13" s="105"/>
      <c r="G13" s="106"/>
      <c r="H13" s="107" t="s">
        <v>99</v>
      </c>
    </row>
    <row r="14" spans="1:8" s="102" customFormat="1" outlineLevel="1">
      <c r="B14" s="103">
        <v>4</v>
      </c>
      <c r="C14" s="104" t="s">
        <v>102</v>
      </c>
      <c r="D14" s="126"/>
      <c r="E14" s="127"/>
      <c r="F14" s="105"/>
      <c r="G14" s="106"/>
      <c r="H14" s="107" t="s">
        <v>99</v>
      </c>
    </row>
    <row r="15" spans="1:8" s="102" customFormat="1" ht="25.5" outlineLevel="1">
      <c r="B15" s="103">
        <v>5</v>
      </c>
      <c r="C15" s="104" t="s">
        <v>113</v>
      </c>
      <c r="D15" s="129"/>
      <c r="E15" s="130"/>
      <c r="F15" s="105"/>
      <c r="G15" s="106"/>
      <c r="H15" s="107"/>
    </row>
    <row r="16" spans="1:8" s="119" customFormat="1" ht="12" customHeight="1" outlineLevel="2">
      <c r="A16" s="102"/>
      <c r="B16" s="132" t="s">
        <v>112</v>
      </c>
      <c r="C16" s="120" t="s">
        <v>111</v>
      </c>
      <c r="D16" s="292"/>
      <c r="E16" s="293"/>
      <c r="F16" s="128" t="s">
        <v>109</v>
      </c>
      <c r="G16" s="113"/>
      <c r="H16" s="107" t="s">
        <v>99</v>
      </c>
    </row>
    <row r="17" spans="1:8" s="102" customFormat="1" ht="89.25" outlineLevel="1">
      <c r="B17" s="103">
        <v>6</v>
      </c>
      <c r="C17" s="120" t="s">
        <v>105</v>
      </c>
      <c r="D17" s="292"/>
      <c r="E17" s="293"/>
      <c r="F17" s="128" t="s">
        <v>103</v>
      </c>
      <c r="G17" s="105" t="s">
        <v>104</v>
      </c>
      <c r="H17" s="107" t="s">
        <v>99</v>
      </c>
    </row>
    <row r="18" spans="1:8" s="102" customFormat="1" ht="38.25" outlineLevel="1">
      <c r="B18" s="103">
        <v>7</v>
      </c>
      <c r="C18" s="120" t="s">
        <v>106</v>
      </c>
      <c r="D18" s="292"/>
      <c r="E18" s="293"/>
      <c r="F18" s="105" t="s">
        <v>107</v>
      </c>
      <c r="G18" s="113"/>
      <c r="H18" s="107" t="s">
        <v>100</v>
      </c>
    </row>
    <row r="19" spans="1:8" s="118" customFormat="1" ht="12" customHeight="1">
      <c r="A19" s="102"/>
      <c r="B19" s="108"/>
      <c r="C19" s="115"/>
      <c r="D19" s="294"/>
      <c r="E19" s="295"/>
      <c r="F19" s="116"/>
      <c r="G19" s="116"/>
      <c r="H19" s="117"/>
    </row>
    <row r="20" spans="1:8" s="119" customFormat="1" ht="12" customHeight="1" outlineLevel="1">
      <c r="A20" s="102"/>
      <c r="B20" s="103">
        <v>8</v>
      </c>
      <c r="C20" s="120" t="s">
        <v>114</v>
      </c>
      <c r="D20" s="292"/>
      <c r="E20" s="293"/>
      <c r="F20" s="113"/>
      <c r="G20" s="113"/>
      <c r="H20" s="114"/>
    </row>
    <row r="21" spans="1:8" s="119" customFormat="1" ht="12" customHeight="1" outlineLevel="1">
      <c r="A21" s="102"/>
      <c r="B21" s="103">
        <v>9</v>
      </c>
      <c r="C21" s="112" t="s">
        <v>96</v>
      </c>
      <c r="D21" s="292"/>
      <c r="E21" s="293"/>
      <c r="F21" s="113"/>
      <c r="G21" s="113"/>
      <c r="H21" s="114"/>
    </row>
    <row r="22" spans="1:8" s="119" customFormat="1" ht="12" customHeight="1" outlineLevel="1">
      <c r="A22" s="102"/>
      <c r="B22" s="103">
        <v>10</v>
      </c>
      <c r="C22" s="120" t="s">
        <v>115</v>
      </c>
      <c r="D22" s="292"/>
      <c r="E22" s="293"/>
      <c r="F22" s="128" t="s">
        <v>116</v>
      </c>
      <c r="G22" s="113"/>
      <c r="H22" s="114"/>
    </row>
    <row r="23" spans="1:8" s="118" customFormat="1" ht="12" customHeight="1">
      <c r="A23" s="102"/>
      <c r="B23" s="108"/>
      <c r="C23" s="115"/>
      <c r="D23" s="294"/>
      <c r="E23" s="295"/>
      <c r="F23" s="116"/>
      <c r="G23" s="116"/>
      <c r="H23" s="117"/>
    </row>
    <row r="24" spans="1:8" s="102" customFormat="1" ht="38.25">
      <c r="B24" s="136">
        <v>11</v>
      </c>
      <c r="C24" s="77" t="s">
        <v>125</v>
      </c>
      <c r="D24" s="304"/>
      <c r="E24" s="305"/>
      <c r="F24" s="137"/>
      <c r="G24" s="137"/>
      <c r="H24" s="138" t="s">
        <v>128</v>
      </c>
    </row>
    <row r="25" spans="1:8" s="102" customFormat="1" ht="51">
      <c r="B25" s="136">
        <v>12</v>
      </c>
      <c r="C25" s="77" t="s">
        <v>124</v>
      </c>
      <c r="D25" s="139"/>
      <c r="E25" s="140"/>
      <c r="F25" s="137"/>
      <c r="G25" s="137"/>
      <c r="H25" s="138" t="s">
        <v>128</v>
      </c>
    </row>
    <row r="26" spans="1:8" s="102" customFormat="1">
      <c r="B26" s="136">
        <v>13</v>
      </c>
      <c r="C26" s="77" t="s">
        <v>126</v>
      </c>
      <c r="D26" s="139"/>
      <c r="E26" s="140"/>
      <c r="F26" s="137"/>
      <c r="G26" s="137"/>
      <c r="H26" s="138" t="s">
        <v>127</v>
      </c>
    </row>
    <row r="27" spans="1:8" s="102" customFormat="1">
      <c r="B27" s="103"/>
      <c r="C27" s="112"/>
      <c r="D27" s="121"/>
      <c r="E27" s="122"/>
      <c r="F27" s="113"/>
      <c r="G27" s="113"/>
      <c r="H27" s="114"/>
    </row>
    <row r="28" spans="1:8" s="102" customFormat="1">
      <c r="B28" s="103" t="str">
        <f>IF(C28&lt;&gt;"",B24+1,"")</f>
        <v/>
      </c>
      <c r="C28" s="112"/>
      <c r="D28" s="292"/>
      <c r="E28" s="293"/>
      <c r="F28" s="113"/>
      <c r="G28" s="113"/>
      <c r="H28" s="114"/>
    </row>
    <row r="29" spans="1:8" s="102" customFormat="1" ht="13.5" thickBot="1">
      <c r="B29" s="103" t="str">
        <f>IF(C29&lt;&gt;"",B24+1,"")</f>
        <v/>
      </c>
      <c r="C29" s="123"/>
      <c r="D29" s="302"/>
      <c r="E29" s="303"/>
      <c r="F29" s="124"/>
      <c r="G29" s="124"/>
      <c r="H29" s="125"/>
    </row>
  </sheetData>
  <mergeCells count="20">
    <mergeCell ref="D17:E17"/>
    <mergeCell ref="D29:E29"/>
    <mergeCell ref="D24:E24"/>
    <mergeCell ref="D28:E28"/>
    <mergeCell ref="B4:H4"/>
    <mergeCell ref="D16:E16"/>
    <mergeCell ref="D19:E19"/>
    <mergeCell ref="D20:E20"/>
    <mergeCell ref="D23:E23"/>
    <mergeCell ref="D21:E21"/>
    <mergeCell ref="D22:E22"/>
    <mergeCell ref="D6:E6"/>
    <mergeCell ref="D10:E10"/>
    <mergeCell ref="D11:E11"/>
    <mergeCell ref="D8:E8"/>
    <mergeCell ref="D9:E9"/>
    <mergeCell ref="D7:E7"/>
    <mergeCell ref="D18:E18"/>
    <mergeCell ref="D12:E12"/>
    <mergeCell ref="D13:E13"/>
  </mergeCells>
  <pageMargins left="0.7" right="0.7" top="0.75" bottom="0.75" header="0.3" footer="0.3"/>
  <pageSetup paperSize="9" orientation="portrait" r:id="rId1"/>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750E6903520D94F90BA983DF0ED2BF7" ma:contentTypeVersion="1" ma:contentTypeDescription="Create a new document." ma:contentTypeScope="" ma:versionID="28dbbd1c73273c0b71dad0210d6d1b4b">
  <xsd:schema xmlns:xsd="http://www.w3.org/2001/XMLSchema" xmlns:p="http://schemas.microsoft.com/office/2006/metadata/properties" targetNamespace="http://schemas.microsoft.com/office/2006/metadata/properties" ma:root="true" ma:fieldsID="68fb7af4f828a77010bab9ebc8fdda89">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506B3D50-A511-483B-BEB7-A29A48F43DAD}">
  <ds:schemaRefs>
    <ds:schemaRef ds:uri="http://schemas.microsoft.com/office/2006/documentManagement/types"/>
    <ds:schemaRef ds:uri="http://purl.org/dc/elements/1.1/"/>
    <ds:schemaRef ds:uri="http://purl.org/dc/terms/"/>
    <ds:schemaRef ds:uri="http://purl.org/dc/dcmitype/"/>
    <ds:schemaRef ds:uri="http://www.w3.org/XML/1998/namespace"/>
    <ds:schemaRef ds:uri="http://schemas.microsoft.com/office/2006/metadata/properties"/>
    <ds:schemaRef ds:uri="http://schemas.openxmlformats.org/package/2006/metadata/core-properties"/>
  </ds:schemaRefs>
</ds:datastoreItem>
</file>

<file path=customXml/itemProps2.xml><?xml version="1.0" encoding="utf-8"?>
<ds:datastoreItem xmlns:ds="http://schemas.openxmlformats.org/officeDocument/2006/customXml" ds:itemID="{175D707C-3B10-44DF-99FE-93CA7659EB94}">
  <ds:schemaRefs>
    <ds:schemaRef ds:uri="http://schemas.microsoft.com/sharepoint/v3/contenttype/forms"/>
  </ds:schemaRefs>
</ds:datastoreItem>
</file>

<file path=customXml/itemProps3.xml><?xml version="1.0" encoding="utf-8"?>
<ds:datastoreItem xmlns:ds="http://schemas.openxmlformats.org/officeDocument/2006/customXml" ds:itemID="{7EBA8AF3-1188-461B-9976-DF34A7DC466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Reference</vt:lpstr>
      <vt:lpstr>Summary</vt:lpstr>
      <vt:lpstr>1. General information (old)</vt:lpstr>
      <vt:lpstr>1. General information</vt:lpstr>
      <vt:lpstr>2. Installation steps</vt:lpstr>
      <vt:lpstr>'1. General information'!Print_Area</vt:lpstr>
      <vt:lpstr>Summary!Print_Area</vt:lpstr>
    </vt:vector>
  </TitlesOfParts>
  <Company>Accenture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daniela.curcio</dc:creator>
  <cp:lastModifiedBy>andrea.rocco</cp:lastModifiedBy>
  <cp:lastPrinted>2008-10-28T14:51:43Z</cp:lastPrinted>
  <dcterms:created xsi:type="dcterms:W3CDTF">2008-10-28T10:29:12Z</dcterms:created>
  <dcterms:modified xsi:type="dcterms:W3CDTF">2010-12-02T10:37:56Z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_AdHocReviewCycleID">
    <vt:i4>148261960</vt:i4>
  </property>
  <property fmtid="{D5CDD505-2E9C-101B-9397-08002B2CF9AE}" pid="4" name="_EmailSubject">
    <vt:lpwstr>Template</vt:lpwstr>
  </property>
  <property fmtid="{D5CDD505-2E9C-101B-9397-08002B2CF9AE}" pid="5" name="_AuthorEmail">
    <vt:lpwstr>alfonso.costa@accenture.com</vt:lpwstr>
  </property>
  <property fmtid="{D5CDD505-2E9C-101B-9397-08002B2CF9AE}" pid="6" name="_AuthorEmailDisplayName">
    <vt:lpwstr>Costa, Alfonso</vt:lpwstr>
  </property>
  <property fmtid="{D5CDD505-2E9C-101B-9397-08002B2CF9AE}" pid="7" name="_PreviousAdHocReviewCycleID">
    <vt:i4>2122947048</vt:i4>
  </property>
  <property fmtid="{D5CDD505-2E9C-101B-9397-08002B2CF9AE}" pid="8" name="_ReviewingToolsShownOnce">
    <vt:lpwstr/>
  </property>
  <property fmtid="{D5CDD505-2E9C-101B-9397-08002B2CF9AE}" pid="9" name="ContentTypeId">
    <vt:lpwstr>0x0101009750E6903520D94F90BA983DF0ED2BF7</vt:lpwstr>
  </property>
</Properties>
</file>